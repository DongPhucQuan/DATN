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aivt19\Desktop\"/>
    </mc:Choice>
  </mc:AlternateContent>
  <bookViews>
    <workbookView showHorizontalScroll="0" showVerticalScroll="0" xWindow="0" yWindow="0" windowWidth="16380" windowHeight="8190" tabRatio="500" activeTab="4"/>
  </bookViews>
  <sheets>
    <sheet name="Bia" sheetId="1" r:id="rId1"/>
    <sheet name="Trang ky" sheetId="2" r:id="rId2"/>
    <sheet name="Can cu lap" sheetId="3" r:id="rId3"/>
    <sheet name="Tong hop" sheetId="4" r:id="rId4"/>
    <sheet name="PL1" sheetId="5" r:id="rId5"/>
    <sheet name="PL2" sheetId="6" r:id="rId6"/>
    <sheet name="PL3" sheetId="7" r:id="rId7"/>
    <sheet name="PL4" sheetId="8" r:id="rId8"/>
    <sheet name="PL5" sheetId="9" r:id="rId9"/>
    <sheet name="PL6" sheetId="10" r:id="rId10"/>
  </sheets>
  <definedNames>
    <definedName name="_xlfn_AGGREGATE">none</definedName>
    <definedName name="_xlfn_AVERAGEIF">none</definedName>
    <definedName name="_xlnm.Print_Area" localSheetId="0">Bia!$A$2:$M$28</definedName>
    <definedName name="_xlnm.Print_Area" localSheetId="2">'Can cu lap'!$A$1:$O$19</definedName>
    <definedName name="_xlnm.Print_Area" localSheetId="4">'PL1'!$A$1:$H$24</definedName>
    <definedName name="_xlnm.Print_Area" localSheetId="5">'PL2'!$A$1:$K$27</definedName>
    <definedName name="_xlnm.Print_Area" localSheetId="6">'PL3'!$A$1:$I$33</definedName>
    <definedName name="_xlnm.Print_Area" localSheetId="7">'PL4'!$A$1:$I$26</definedName>
    <definedName name="_xlnm.Print_Area" localSheetId="8">'PL5'!$A$1:$I$32</definedName>
    <definedName name="_xlnm.Print_Area" localSheetId="9">'PL6'!$A$1:$I$22</definedName>
    <definedName name="_xlnm.Print_Area" localSheetId="3">'Tong hop'!$A$1:$I$36</definedName>
    <definedName name="_xlnm.Print_Area" localSheetId="1">'Trang ky'!$A$2:$M$28</definedName>
    <definedName name="_xlnm.Print_Titles" localSheetId="5">'PL2'!$6:$6</definedName>
    <definedName name="_xlnm.Print_Titles" localSheetId="6">'PL3'!$6:$6</definedName>
    <definedName name="_xlnm.Print_Titles" localSheetId="7">'PL4'!$6:$6</definedName>
    <definedName name="_xlnm.Print_Titles" localSheetId="8">'PL5'!$6:$6</definedName>
    <definedName name="_xlnm.Print_Titles" localSheetId="9">'PL6'!$6:$6</definedName>
    <definedName name="_xlnm.Print_Titles" localSheetId="3">'Tong hop'!$10:$10</definedName>
  </definedNames>
  <calcPr calcId="162913"/>
</workbook>
</file>

<file path=xl/calcChain.xml><?xml version="1.0" encoding="utf-8"?>
<calcChain xmlns="http://schemas.openxmlformats.org/spreadsheetml/2006/main">
  <c r="F13" i="10" l="1"/>
  <c r="H13" i="10" s="1"/>
  <c r="F12" i="10"/>
  <c r="H12" i="10" s="1"/>
  <c r="F11" i="10"/>
  <c r="H11" i="10" s="1"/>
  <c r="F10" i="10"/>
  <c r="H10" i="10" s="1"/>
  <c r="F9" i="10"/>
  <c r="H9" i="10" s="1"/>
  <c r="F8" i="10"/>
  <c r="H8" i="10" s="1"/>
  <c r="F15" i="9"/>
  <c r="H15" i="9" s="1"/>
  <c r="F14" i="9"/>
  <c r="F16" i="9" s="1"/>
  <c r="F13" i="9"/>
  <c r="H13" i="9" s="1"/>
  <c r="F12" i="9"/>
  <c r="H12" i="9" s="1"/>
  <c r="F11" i="9"/>
  <c r="H11" i="9" s="1"/>
  <c r="F10" i="9"/>
  <c r="H10" i="9" s="1"/>
  <c r="F9" i="9"/>
  <c r="H9" i="9" s="1"/>
  <c r="F8" i="9"/>
  <c r="H8" i="9" s="1"/>
  <c r="F13" i="8"/>
  <c r="H13" i="8" s="1"/>
  <c r="F12" i="8"/>
  <c r="H12" i="8" s="1"/>
  <c r="F11" i="8"/>
  <c r="F14" i="8" s="1"/>
  <c r="F10" i="8"/>
  <c r="H10" i="8" s="1"/>
  <c r="F9" i="8"/>
  <c r="H9" i="8" s="1"/>
  <c r="F8" i="8"/>
  <c r="H8" i="8" s="1"/>
  <c r="F20" i="7"/>
  <c r="H20" i="7" s="1"/>
  <c r="F19" i="7"/>
  <c r="H19" i="7" s="1"/>
  <c r="F18" i="7"/>
  <c r="H18" i="7" s="1"/>
  <c r="F17" i="7"/>
  <c r="H17" i="7" s="1"/>
  <c r="F16" i="7"/>
  <c r="H16" i="7" s="1"/>
  <c r="F13" i="7"/>
  <c r="H13" i="7" s="1"/>
  <c r="F12" i="7"/>
  <c r="H12" i="7" s="1"/>
  <c r="F11" i="7"/>
  <c r="H11" i="7" s="1"/>
  <c r="F10" i="7"/>
  <c r="H10" i="7" s="1"/>
  <c r="F9" i="7"/>
  <c r="H9" i="7" s="1"/>
  <c r="H16" i="6"/>
  <c r="J16" i="6" s="1"/>
  <c r="H15" i="6"/>
  <c r="J15" i="6" s="1"/>
  <c r="H14" i="6"/>
  <c r="J14" i="6" s="1"/>
  <c r="H13" i="6"/>
  <c r="J13" i="6" s="1"/>
  <c r="H12" i="6"/>
  <c r="H17" i="6" s="1"/>
  <c r="H11" i="6"/>
  <c r="J11" i="6" s="1"/>
  <c r="H10" i="6"/>
  <c r="J10" i="6" s="1"/>
  <c r="H9" i="6"/>
  <c r="J9" i="6" s="1"/>
  <c r="E16" i="5"/>
  <c r="G15" i="5"/>
  <c r="G14" i="5"/>
  <c r="G13" i="5"/>
  <c r="G12" i="5"/>
  <c r="G11" i="5"/>
  <c r="G10" i="5"/>
  <c r="G9" i="5"/>
  <c r="G8" i="5"/>
  <c r="G16" i="5" s="1"/>
  <c r="F12" i="4" s="1"/>
  <c r="G28" i="4"/>
  <c r="G27" i="4"/>
  <c r="G26" i="4"/>
  <c r="G25" i="4"/>
  <c r="G24" i="4"/>
  <c r="G23" i="4"/>
  <c r="G22" i="4"/>
  <c r="G21" i="4"/>
  <c r="G20" i="4"/>
  <c r="G19" i="4"/>
  <c r="G29" i="4" s="1"/>
  <c r="G18" i="4"/>
  <c r="G17" i="4"/>
  <c r="G16" i="4"/>
  <c r="G15" i="4"/>
  <c r="G14" i="4"/>
  <c r="G13" i="4"/>
  <c r="G12" i="4"/>
  <c r="H28" i="2"/>
  <c r="E12" i="2"/>
  <c r="A9" i="2"/>
  <c r="H28" i="1"/>
  <c r="A9" i="1"/>
  <c r="F18" i="4" l="1"/>
  <c r="H18" i="4" s="1"/>
  <c r="H21" i="7"/>
  <c r="F16" i="4" s="1"/>
  <c r="H16" i="4" s="1"/>
  <c r="F17" i="4"/>
  <c r="H17" i="4" s="1"/>
  <c r="H12" i="4"/>
  <c r="H14" i="10"/>
  <c r="F25" i="4" s="1"/>
  <c r="H11" i="8"/>
  <c r="H14" i="8" s="1"/>
  <c r="F19" i="4" s="1"/>
  <c r="J12" i="6"/>
  <c r="J17" i="6" s="1"/>
  <c r="F13" i="4" s="1"/>
  <c r="H14" i="9"/>
  <c r="H16" i="9" s="1"/>
  <c r="F24" i="4" s="1"/>
  <c r="H24" i="4" s="1"/>
  <c r="F21" i="7"/>
  <c r="F14" i="10"/>
  <c r="H13" i="4" l="1"/>
  <c r="F14" i="4"/>
  <c r="H14" i="4" s="1"/>
  <c r="F28" i="4"/>
  <c r="H28" i="4" s="1"/>
  <c r="F29" i="4"/>
  <c r="F22" i="4"/>
  <c r="H22" i="4" s="1"/>
  <c r="F21" i="4"/>
  <c r="H21" i="4" s="1"/>
  <c r="F20" i="4"/>
  <c r="H20" i="4" s="1"/>
  <c r="H19" i="4"/>
  <c r="F26" i="4"/>
  <c r="H26" i="4" s="1"/>
  <c r="H25" i="4"/>
  <c r="H29" i="4" s="1"/>
  <c r="I28" i="4" l="1"/>
  <c r="I18" i="4"/>
  <c r="I13" i="4"/>
  <c r="I27" i="4"/>
  <c r="I22" i="4"/>
  <c r="I17" i="4"/>
  <c r="I12" i="4"/>
  <c r="I21" i="4"/>
  <c r="I20" i="4"/>
  <c r="I15" i="4"/>
  <c r="D32" i="4"/>
  <c r="I14" i="4"/>
  <c r="I26" i="4"/>
  <c r="I16" i="4"/>
  <c r="G11" i="2"/>
  <c r="I19" i="4"/>
  <c r="I25" i="4"/>
  <c r="I24" i="4"/>
  <c r="F23" i="4"/>
  <c r="H23" i="4" s="1"/>
  <c r="I23" i="4" s="1"/>
  <c r="F27" i="4"/>
  <c r="H27" i="4" s="1"/>
  <c r="F15" i="4"/>
  <c r="H15" i="4" s="1"/>
</calcChain>
</file>

<file path=xl/sharedStrings.xml><?xml version="1.0" encoding="utf-8"?>
<sst xmlns="http://schemas.openxmlformats.org/spreadsheetml/2006/main" count="347" uniqueCount="205">
  <si>
    <t>BM.01_Du toan kinh phi nhiem vu KHCN</t>
  </si>
  <si>
    <t>TẬP ĐOÀN CÔNG NGHIỆP-VIỄN THÔNG QUÂN ĐỘI</t>
  </si>
  <si>
    <t>CỘNG HOÀ XÃ HỘI CHỦ NGHĨA VIỆT NAM</t>
  </si>
  <si>
    <t>ĐƠN VỊ CHỦ TRÌ NHIỆM VỤ</t>
  </si>
  <si>
    <t>Độc lập - Tự do - Hạnh phúc</t>
  </si>
  <si>
    <t>HỒ SƠ DỰ TOÁN 
KINH PHÍ THỰC HIỆN NHIỆM VỤ KHOA HỌC VÀ CÔNG NGHỆ</t>
  </si>
  <si>
    <t>GIÁ TRỊ DỰ TOÁN:</t>
  </si>
  <si>
    <t>VND</t>
  </si>
  <si>
    <t xml:space="preserve">Bằng chữ: </t>
  </si>
  <si>
    <t>CHỦ NHIỆM NHIỆM VỤ</t>
  </si>
  <si>
    <t>(Họ tên và chữ ký)</t>
  </si>
  <si>
    <t>(Ký tên, đóng dấu)</t>
  </si>
  <si>
    <t>Đơn vị chủ trì nhiệm vụ</t>
  </si>
  <si>
    <t>Nhiệm vụ KHCN: Nghiên cứu làm chủ thiết bị Băng tần 5G BBU / gNodeB</t>
  </si>
  <si>
    <t>CĂN CỨ LẬP DỰ TOÁN</t>
  </si>
  <si>
    <t>Nhiệm vụ KHCN:…</t>
  </si>
  <si>
    <t>- Căn cứ vào Quy chế Khoa học và công nghệ của Tập đoàn;
- Căn cứ vào Quy chế trích lập, sử dụng Quỹ phát triển KHCN Tập đoàn
- Căn cứ vào Quy định xây dựng dự toán nhiệm vụ KHCN...
- Căn cứ khác...;</t>
  </si>
  <si>
    <t>1.</t>
  </si>
  <si>
    <t xml:space="preserve">Chi phí nhân công trực tiếp:  </t>
  </si>
  <si>
    <t>- Cơ sở dự kiến số lượng, chi phí theo từng nội dung công việc:
- Cơ sở giá: 
+ Cơ quan tổ chức nhân lực của đơn vị chủ trì hướng dẫn xây dựng chi phí nhân công (theo mức lương, các khoản phụ cấp theo lương và các chi phí khác) đối với nhân sự đã xác định đích danh
+ Đối với các chức danh chưa xác định được đích danh người thực hiện nhiệm vụ tại thời điểm lập dự toán, cần phải nêu rõ tiêu chuẩn về năng lực, kinh nghiệm chuyên môn cần thiết (tương ứng với bậc lương HRL theo quy chế lương của Tập đoàn/đơn vị) cho từng chức danh và từng mức lương trong dự toán. Cơ quan tổ chức nhân lực của đơn vị cung cấp đơn giá tháng công tạm tính áp dụng cho từng chức danh theo tiêu chuẩn năng lực, kinh nghiệm tương ứng để làm cơ sở xây dựng dự toán</t>
  </si>
  <si>
    <t>2.</t>
  </si>
  <si>
    <t xml:space="preserve">Chi nguyên liệu, vật liệu: </t>
  </si>
  <si>
    <t>- Mục đích sử dụng: 
- Cơ sở ước tính số lượng, khối lượng:
- Cơ sở giá:</t>
  </si>
  <si>
    <t>3.</t>
  </si>
  <si>
    <t>Chi tài sản cố định và khấu hao tài sản cố định:</t>
  </si>
  <si>
    <t xml:space="preserve">- Mục đích sử dụng: 
- Cơ sở dự kiến số lượng, khối lượng: 
- Chỉ tiêu thông số kỹ thuật: 
- Cơ sở về giá: </t>
  </si>
  <si>
    <t>4.</t>
  </si>
  <si>
    <t>Chi dịch vụ thuê ngoài:</t>
  </si>
  <si>
    <t>5.</t>
  </si>
  <si>
    <t>Chi khác phục vụ trực tiếp triển khai đề tài:</t>
  </si>
  <si>
    <t>6.</t>
  </si>
  <si>
    <t>Chi quản lý đề tài</t>
  </si>
  <si>
    <t xml:space="preserve">- Mục đích: 
- Cơ sở xác định đơn giá: </t>
  </si>
  <si>
    <t>TỔNG HỢP DỰ TOÁN KINH PHÍ NHIỆM VỤ KHOA HỌC VÀ CÔNG NGHỆ</t>
  </si>
  <si>
    <t>Tên nhiệm vụ:</t>
  </si>
  <si>
    <t>Nghiên cứu làm chủ thiết bị Băng tần 5G BBU / gNodeB</t>
  </si>
  <si>
    <t xml:space="preserve">Nguồn vốn: </t>
  </si>
  <si>
    <t>Quỹ Phát triển KHCN Viettel</t>
  </si>
  <si>
    <t xml:space="preserve">Loại nhiệm vụ: </t>
  </si>
  <si>
    <t>Dự án KHCN cấp Tập đoàn</t>
  </si>
  <si>
    <t>ĐVT: 1.000 VND</t>
  </si>
  <si>
    <t>STT</t>
  </si>
  <si>
    <t>NỘI DUNG CÁC KHOẢN CHI</t>
  </si>
  <si>
    <t>PHỤ LỤC</t>
  </si>
  <si>
    <t>TIỀN HÀNG
(Trước thuế GTGT)</t>
  </si>
  <si>
    <t>Thuế GTGT</t>
  </si>
  <si>
    <t>THÀNH TIỀN
(Đã bao gồm thuế GTGT)</t>
  </si>
  <si>
    <t>Tỷ lệ (%)</t>
  </si>
  <si>
    <t>(a)</t>
  </si>
  <si>
    <t>(b)</t>
  </si>
  <si>
    <t>(c)</t>
  </si>
  <si>
    <t>(1)</t>
  </si>
  <si>
    <t>(2)</t>
  </si>
  <si>
    <t>(3)=(1)+(2)</t>
  </si>
  <si>
    <t>(4)</t>
  </si>
  <si>
    <t>Chi nhân công trực tiếp</t>
  </si>
  <si>
    <t>Phụ lục 1</t>
  </si>
  <si>
    <t>Chi nguyên liệu, vật liệu</t>
  </si>
  <si>
    <t>Phụ lục 2</t>
  </si>
  <si>
    <t>2.1</t>
  </si>
  <si>
    <t xml:space="preserve">Chi phí trực tiếp phục vụ hoạt động nghiên cứu </t>
  </si>
  <si>
    <t>2.2</t>
  </si>
  <si>
    <t xml:space="preserve">Chi phí chuyển giao và tiếp nhận công nghệ </t>
  </si>
  <si>
    <t>Chi công cụ dụng cụ và khấu hao tài sản cố định</t>
  </si>
  <si>
    <t>Phụ lục 3</t>
  </si>
  <si>
    <t>3.1</t>
  </si>
  <si>
    <t>Chi công cụ dụng cụ</t>
  </si>
  <si>
    <t>3.2</t>
  </si>
  <si>
    <t xml:space="preserve">Chi khấu hao tài sản cố định </t>
  </si>
  <si>
    <t>Chi dịch vụ thuê ngoài</t>
  </si>
  <si>
    <t>Phụ lục 4</t>
  </si>
  <si>
    <t>4.1</t>
  </si>
  <si>
    <t>Chi phí thuê ngoài trực tiếp phục vụ hoạt động nghiên cứu, phát triển</t>
  </si>
  <si>
    <t>4.2</t>
  </si>
  <si>
    <t>Chi phí thử nghiệm và kiểm định</t>
  </si>
  <si>
    <t>4.3</t>
  </si>
  <si>
    <t>Chi phí dịch vụ nghiên cứu, phát triển</t>
  </si>
  <si>
    <t>4.4</t>
  </si>
  <si>
    <t>Chi phí thuê ngoài khác gắn trực tiếp và hợp lý với nhiệm vụ KHCN</t>
  </si>
  <si>
    <t>Chi khác phục vụ trực tiếp triển khai nhiệm vụ KH&amp;CN</t>
  </si>
  <si>
    <t>Phụ lục 5</t>
  </si>
  <si>
    <t>Chi quản lý nhiệm vụ KHCN</t>
  </si>
  <si>
    <t>Phụ lục 6</t>
  </si>
  <si>
    <t>6.1</t>
  </si>
  <si>
    <t>Chi quản lý chung nhiệm vụ KHCN</t>
  </si>
  <si>
    <t>6.2</t>
  </si>
  <si>
    <t>Chi đánh giá, nghiệm thu nhiệm vụ KHCN</t>
  </si>
  <si>
    <t>Chi phí dự phòng</t>
  </si>
  <si>
    <t>TỔNG CỘNG</t>
  </si>
  <si>
    <t>Bằng chữ: Mười lăm tỷ đồng chẵn./.</t>
  </si>
  <si>
    <t>(*) Trong đó:</t>
  </si>
  <si>
    <t>- Giá trị chi tiêu Quỹ Phát triển KHCN Viettel:</t>
  </si>
  <si>
    <t>- Còn lại (Các khoản mua từ nguồn Quỹ phát triển KHCN của hoạt động KHCN &amp; ĐMST khác):</t>
  </si>
  <si>
    <t>Lưu ý: Các khoản chi không phát sinh: có thể xóa đi; và có thể chi tiết các khoản chi (nếu cần thiết làm rõ)</t>
  </si>
  <si>
    <t>(*) Trình bày trong trường hợp phát sinh khoản mua từ nguồn Quỹ phát triển KHCN của hoạt động KHCN &amp; ĐMST khác</t>
  </si>
  <si>
    <t>PHỤ LỤC 1</t>
  </si>
  <si>
    <t>Khoản mục: Chi nhân công trực tiếp</t>
  </si>
  <si>
    <t>TT</t>
  </si>
  <si>
    <t>Hạng mục chi phí</t>
  </si>
  <si>
    <t>Đơn vị tính</t>
  </si>
  <si>
    <t>Số lượng</t>
  </si>
  <si>
    <t>Đơn giá trung bình</t>
  </si>
  <si>
    <t>Thành Tiền</t>
  </si>
  <si>
    <t>Ghi chú (Ghi các thông tin về số lượng nhân sự dự kiến thực hiện mỗi nội dung công việc, vai trò thực hiện, căn cứ xây dựng chi phí nhân công...)</t>
  </si>
  <si>
    <t xml:space="preserve">(c) </t>
  </si>
  <si>
    <t>(2)=(3)/(1)</t>
  </si>
  <si>
    <t>(5)</t>
  </si>
  <si>
    <t>Chủ nhiệm nhiệm vụ / NCV chính (Level chuyên gia)</t>
  </si>
  <si>
    <t>man-month</t>
  </si>
  <si>
    <t>1 người × 18 tháng; điều hành KT, chịu trách nhiệm chỉ tiêu RF/IOT</t>
  </si>
  <si>
    <t>Kỹ sư thiết kế HW chính (SoC ARM+FPGA, PCB)</t>
  </si>
  <si>
    <t>≈1,7 FTE × 18 tháng; schematic, layout 12–16 lớp, SI/PI, BOM</t>
  </si>
  <si>
    <t>Kỹ sư SW nhúng / Firmware (L1 PHY, HAL, driver)</t>
  </si>
  <si>
    <t>≈2,2 FTE × 18 tháng; PHY FPGA, HAL, BSP Linux RT</t>
  </si>
  <si>
    <t>Kỹ sư L2/MAC &amp; O-RAN stack (eCPRI, O1)</t>
  </si>
  <si>
    <t>≈1,7 FTE × 18 tháng; MAC, Open Fronthaul, quản lý</t>
  </si>
  <si>
    <t>Kỹ sư đo kiểm RF &amp; hệ thống (TS 38.141, IOT)</t>
  </si>
  <si>
    <t>≈1,7 FTE × 18 tháng; EVM, soak 72h, IOT O-RU, báo cáo</t>
  </si>
  <si>
    <t>Kỹ sư tích hợp hệ thống / bring-up</t>
  </si>
  <si>
    <t>1 người × 18 tháng; board bring-up, tích hợp HW-SW</t>
  </si>
  <si>
    <t>Quản lý dự án / Thư ký nhiệm vụ</t>
  </si>
  <si>
    <t>≈1,1 FTE × 18 tháng; tiến độ, hồ sơ, nghiệm thu</t>
  </si>
  <si>
    <t>Chuyên gia tư vấn O-RAN/3GPP (bán thời gian)</t>
  </si>
  <si>
    <t>6 MM; review kiến trúc, hỗ trợ IOT, training</t>
  </si>
  <si>
    <t>PHỤ LỤC 2</t>
  </si>
  <si>
    <t>Khoản mục: Chi nguyên liệu, vật liệu</t>
  </si>
  <si>
    <t>ĐVT</t>
  </si>
  <si>
    <t xml:space="preserve">Số lượng/ 1 Lần thử </t>
  </si>
  <si>
    <t>Số lần thử</t>
  </si>
  <si>
    <t>Dự phòng</t>
  </si>
  <si>
    <t>Đơn giá</t>
  </si>
  <si>
    <t>THÀNH TIỀN
(Trước thuế GTGT)</t>
  </si>
  <si>
    <t>Ghi chú (Ghi các thông tin về báo giá, đường dẫn tham khảo giá...)</t>
  </si>
  <si>
    <t>(3)</t>
  </si>
  <si>
    <t>(5)={(1)*(2)+(3)}*(4)</t>
  </si>
  <si>
    <t>(6)</t>
  </si>
  <si>
    <t>(7)=(5)+(6)</t>
  </si>
  <si>
    <t>(8)</t>
  </si>
  <si>
    <t>A</t>
  </si>
  <si>
    <t>Sản phẩm BBU 5G NR O-RAN – NVL nghiên cứu &amp; chế thử</t>
  </si>
  <si>
    <t>SoC ARM đa nhân (industrial) – mẫu + dự phòng</t>
  </si>
  <si>
    <t>bộ</t>
  </si>
  <si>
    <t>FPGA mid-range (PHY 100MHz 4T4R)</t>
  </si>
  <si>
    <t>DDR4 / Flash / eMMC tốc độ cao</t>
  </si>
  <si>
    <t>PCB 12–16 lớp impedance control (alpha/beta/final)</t>
  </si>
  <si>
    <t>tấm</t>
  </si>
  <si>
    <t>Linh kiện passive, power, clock, Ethernet PHY, connector</t>
  </si>
  <si>
    <t>lô</t>
  </si>
  <si>
    <t>Module quang SFP+/eCPRI, cáp fronthaul</t>
  </si>
  <si>
    <t>Vật tư tiêu hao SMT, ESD, thử nghiệm</t>
  </si>
  <si>
    <t>Linh kiện RF phụ trợ / eval board</t>
  </si>
  <si>
    <t>PHỤ LỤC 3</t>
  </si>
  <si>
    <t>Khoản mục: Chi công cụ dụng cụ và khấu hao tài sản cố định</t>
  </si>
  <si>
    <t>(3)=(1)*(2)</t>
  </si>
  <si>
    <t>(5)=(3)+(4)</t>
  </si>
  <si>
    <t>I</t>
  </si>
  <si>
    <t>Công cụ dụng cụ (CCDC)</t>
  </si>
  <si>
    <t>License EDA (Altium/Cadence) – 3 năm</t>
  </si>
  <si>
    <t>license</t>
  </si>
  <si>
    <t>License FPGA toolchain + SI/PI tool</t>
  </si>
  <si>
    <t>Dụng cụ hàn, trạm ESD, kính hiển vi, bring-up kit</t>
  </si>
  <si>
    <t>Workstation kỹ sư (dev)</t>
  </si>
  <si>
    <t>DMM, nguồn DC, logic analyzer entry</t>
  </si>
  <si>
    <t>II</t>
  </si>
  <si>
    <t>Tài sản cố định (mua sắm phục vụ nhiệm vụ)</t>
  </si>
  <si>
    <t>Signal Analyzer / VSA (đo EVM, spectrum)</t>
  </si>
  <si>
    <t>Vector Signal Generator</t>
  </si>
  <si>
    <t>Máy hiện sóng high-speed + probe</t>
  </si>
  <si>
    <t>Nguồn programmable + buồng nhiệt lab</t>
  </si>
  <si>
    <t>Máy chủ build / storage</t>
  </si>
  <si>
    <t>TỔNG CỘNG (CCDC + TSCĐ)</t>
  </si>
  <si>
    <t>PHỤ LỤC 4</t>
  </si>
  <si>
    <t>Khoản mục: Chi dịch vụ thuê ngoài</t>
  </si>
  <si>
    <t>Thuê đo kiểm / chứng nhận RF TS 38.141 (lab công nhận)</t>
  </si>
  <si>
    <t>gói</t>
  </si>
  <si>
    <t>Thuê đo EMC / an toàn điện</t>
  </si>
  <si>
    <t>Thuê tư vấn O-RAN / review kiến trúc (2 đợt)</t>
  </si>
  <si>
    <t>Thuê hạ tầng lab / cloud mô phỏng</t>
  </si>
  <si>
    <t>tháng</t>
  </si>
  <si>
    <t>Thuê gia công SMT / lắp ráp mẫu (AOI, X-ray)</t>
  </si>
  <si>
    <t>Hỗ trợ IOT với nhà cung cấp O-RU tham chiếu</t>
  </si>
  <si>
    <t>PHỤ LỤC 5</t>
  </si>
  <si>
    <t>Khoản mục: Chi khác phục vụ trực tiếp triển khai nhiệm vụ KHCN</t>
  </si>
  <si>
    <t>Chi sở hữu trí tuệ (đăng ký nếu có)</t>
  </si>
  <si>
    <t>Chi đi công tác (IOT, lab, đối tác)</t>
  </si>
  <si>
    <t>lượt</t>
  </si>
  <si>
    <t>Chi hội thảo / training O-RAN, 3GPP, RF</t>
  </si>
  <si>
    <t>buổi</t>
  </si>
  <si>
    <t>Chi thông tin liên lạc, đường truyền lab</t>
  </si>
  <si>
    <t>Chi văn phòng phẩm, in ấn hồ sơ</t>
  </si>
  <si>
    <t>Chi điện, điều hòa lab ưu tiên</t>
  </si>
  <si>
    <t>Chi công bố / whitepaper kỹ thuật</t>
  </si>
  <si>
    <t>Chi khác (dịch thuật, công chứng)</t>
  </si>
  <si>
    <t>Chi cần thiết khác</t>
  </si>
  <si>
    <t>…</t>
  </si>
  <si>
    <t xml:space="preserve">TỔNG CỘNG </t>
  </si>
  <si>
    <t>PHỤ LỤC 6</t>
  </si>
  <si>
    <t>Khoản mục: Chi quản lý nhiệm vụ KHCN</t>
  </si>
  <si>
    <t>Chi quản lý thực hiện nhiệm vụ (hành chính, giám sát tiến độ)</t>
  </si>
  <si>
    <t>Chi họp đánh giá định kỳ / hội đồng tư vấn cấp Viện</t>
  </si>
  <si>
    <t>Chi họp nghiệm thu cấp cơ sở và cấp Tập đoàn</t>
  </si>
  <si>
    <t>Chi thuê chuyên gia phản biện / TV hội đồng ngoài</t>
  </si>
  <si>
    <t>người</t>
  </si>
  <si>
    <t>Chi tổ chức phục vụ nghiệm thu</t>
  </si>
  <si>
    <t>Chi quản lý chung phân bổ khác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</si>
</sst>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_);\(* #,##0\);_(* \-??_);_(@_)"/>
    <numFmt numFmtId="165" formatCode="_(* #,##0_);_(* \(#,##0\);_(* \-??_);_(@_)"/>
    <numFmt numFmtId="166" formatCode="_(* #,##0.00_);_(* \(#,##0.00\);_(* \-??_);_(@_)"/>
  </numFmts>
  <fonts count="47">
    <font>
      <sz val="10"/>
      <name val="Arial"/>
      <family val="2"/>
    </font>
    <font>
      <sz val="11"/>
      <color rgb="FF000000"/>
      <name val="Calibri"/>
      <family val="2"/>
    </font>
    <font>
      <sz val="10"/>
      <name val=".VnArial"/>
      <family val="2"/>
    </font>
    <font>
      <sz val="12"/>
      <name val=".VnTime"/>
      <family val="2"/>
    </font>
    <font>
      <sz val="10"/>
      <name val="Times New Roman"/>
      <family val="1"/>
    </font>
    <font>
      <sz val="13"/>
      <name val="Times New Roman"/>
      <family val="1"/>
    </font>
    <font>
      <sz val="12"/>
      <name val="Times New Roman"/>
      <family val="1"/>
    </font>
    <font>
      <b/>
      <sz val="13"/>
      <name val="Times New Roman"/>
      <family val="1"/>
    </font>
    <font>
      <sz val="34"/>
      <name val="Times New Roman"/>
      <family val="1"/>
    </font>
    <font>
      <sz val="18"/>
      <name val="Times New Roman"/>
      <family val="1"/>
    </font>
    <font>
      <b/>
      <sz val="14"/>
      <name val="Times New Roman"/>
      <family val="1"/>
    </font>
    <font>
      <sz val="14"/>
      <name val="Times New Roman"/>
      <family val="1"/>
    </font>
    <font>
      <b/>
      <sz val="12"/>
      <name val="Times New Roman"/>
      <family val="1"/>
    </font>
    <font>
      <b/>
      <i/>
      <sz val="12"/>
      <name val="Times New Roman"/>
      <family val="1"/>
    </font>
    <font>
      <b/>
      <sz val="10"/>
      <name val="Times New Roman"/>
      <family val="1"/>
    </font>
    <font>
      <i/>
      <sz val="11"/>
      <name val="Times New Roman"/>
      <family val="1"/>
    </font>
    <font>
      <sz val="11"/>
      <name val="Times New Roman"/>
      <family val="1"/>
    </font>
    <font>
      <sz val="12"/>
      <color rgb="FFFFFFFF"/>
      <name val="Times New Roman"/>
      <family val="1"/>
    </font>
    <font>
      <sz val="12"/>
      <color rgb="FF33CCCC"/>
      <name val="Times New Roman"/>
      <family val="1"/>
    </font>
    <font>
      <i/>
      <sz val="13"/>
      <name val="Times New Roman"/>
      <family val="1"/>
    </font>
    <font>
      <b/>
      <sz val="20"/>
      <name val="Times New Roman"/>
      <family val="1"/>
    </font>
    <font>
      <i/>
      <sz val="12"/>
      <name val="Times New Roman"/>
      <family val="1"/>
    </font>
    <font>
      <b/>
      <sz val="18"/>
      <name val="Times New Roman"/>
      <family val="1"/>
    </font>
    <font>
      <b/>
      <sz val="13"/>
      <name val="Times New Roman"/>
      <family val="1"/>
      <charset val="163"/>
    </font>
    <font>
      <i/>
      <sz val="13"/>
      <name val="Times New Roman"/>
      <family val="1"/>
      <charset val="163"/>
    </font>
    <font>
      <b/>
      <sz val="10"/>
      <name val="Times New Roman"/>
      <family val="1"/>
      <charset val="163"/>
    </font>
    <font>
      <sz val="10"/>
      <color rgb="FFFF0000"/>
      <name val="Times New Roman"/>
      <family val="1"/>
    </font>
    <font>
      <i/>
      <sz val="10"/>
      <name val="Times New Roman"/>
      <family val="1"/>
      <charset val="163"/>
    </font>
    <font>
      <b/>
      <i/>
      <sz val="13"/>
      <name val="Times New Roman"/>
      <family val="1"/>
      <charset val="163"/>
    </font>
    <font>
      <i/>
      <sz val="10"/>
      <name val="Times New Roman"/>
      <family val="1"/>
    </font>
    <font>
      <b/>
      <sz val="13"/>
      <color rgb="FFFF0000"/>
      <name val="Times New Roman"/>
      <family val="1"/>
    </font>
    <font>
      <sz val="10"/>
      <color rgb="FFFFFFFF"/>
      <name val="Times New Roman"/>
      <family val="1"/>
    </font>
    <font>
      <b/>
      <sz val="14"/>
      <color rgb="FFFFFFFF"/>
      <name val="Times New Roman"/>
      <family val="1"/>
    </font>
    <font>
      <i/>
      <sz val="11"/>
      <color rgb="FFFFFFFF"/>
      <name val="Times New Roman"/>
      <family val="1"/>
    </font>
    <font>
      <b/>
      <i/>
      <sz val="13"/>
      <name val="Times New Roman"/>
      <family val="1"/>
    </font>
    <font>
      <i/>
      <sz val="13"/>
      <name val="Arial"/>
      <family val="2"/>
    </font>
    <font>
      <sz val="13"/>
      <color rgb="FFFFFFFF"/>
      <name val="Times New Roman"/>
      <family val="1"/>
    </font>
    <font>
      <sz val="13"/>
      <name val="Arial"/>
      <family val="2"/>
    </font>
    <font>
      <b/>
      <sz val="11"/>
      <name val="Times New Roman"/>
      <family val="1"/>
    </font>
    <font>
      <i/>
      <sz val="13"/>
      <color rgb="FFFF0000"/>
      <name val="Times New Roman"/>
      <family val="1"/>
    </font>
    <font>
      <i/>
      <sz val="13"/>
      <color rgb="FFFF0000"/>
      <name val="Arial"/>
      <family val="2"/>
    </font>
    <font>
      <b/>
      <sz val="14"/>
      <color rgb="FFFF0000"/>
      <name val="Times New Roman"/>
      <family val="1"/>
    </font>
    <font>
      <b/>
      <sz val="10"/>
      <color rgb="FFFF0000"/>
      <name val="Times New Roman"/>
      <family val="1"/>
    </font>
    <font>
      <b/>
      <i/>
      <sz val="13"/>
      <name val="Arial"/>
      <family val="2"/>
    </font>
    <font>
      <sz val="10"/>
      <name val="Times New Roman"/>
    </font>
    <font>
      <b/>
      <sz val="10"/>
      <name val="Times New Roman"/>
    </font>
    <font>
      <sz val="10"/>
      <name val="Arial"/>
      <family val="2"/>
    </font>
  </fonts>
  <fills count="3">
    <fill>
      <patternFill patternType="none"/>
    </fill>
    <fill>
      <patternFill patternType="gray125"/>
    </fill>
    <fill>
      <patternFill patternType="solid">
        <fgColor rgb="FFCCFFFF"/>
        <bgColor rgb="FFCCFFFF"/>
      </patternFill>
    </fill>
  </fills>
  <borders count="17">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8">
    <xf numFmtId="0" fontId="0" fillId="0" borderId="0"/>
    <xf numFmtId="166" fontId="46" fillId="0" borderId="0"/>
    <xf numFmtId="0" fontId="1" fillId="0" borderId="0"/>
    <xf numFmtId="0" fontId="46" fillId="0" borderId="0"/>
    <xf numFmtId="0" fontId="1" fillId="0" borderId="0"/>
    <xf numFmtId="0" fontId="46" fillId="0" borderId="0"/>
    <xf numFmtId="0" fontId="46" fillId="0" borderId="0"/>
    <xf numFmtId="0" fontId="2" fillId="0" borderId="0">
      <alignment vertical="top"/>
    </xf>
  </cellStyleXfs>
  <cellXfs count="203">
    <xf numFmtId="0" fontId="0" fillId="0" borderId="0" xfId="0" applyAlignment="1"/>
    <xf numFmtId="0" fontId="0" fillId="0" borderId="0" xfId="0" applyAlignment="1">
      <alignment vertical="center"/>
    </xf>
    <xf numFmtId="0" fontId="4" fillId="0" borderId="0" xfId="0" applyFont="1" applyAlignment="1">
      <alignment vertical="center"/>
    </xf>
    <xf numFmtId="0" fontId="6" fillId="0" borderId="2" xfId="0" applyFont="1" applyBorder="1" applyAlignment="1">
      <alignment vertical="center"/>
    </xf>
    <xf numFmtId="0" fontId="6" fillId="0" borderId="0" xfId="0" applyFont="1" applyAlignment="1">
      <alignment vertical="center"/>
    </xf>
    <xf numFmtId="0" fontId="6" fillId="0" borderId="4" xfId="0" applyFont="1" applyBorder="1" applyAlignment="1">
      <alignment vertical="center"/>
    </xf>
    <xf numFmtId="0" fontId="7" fillId="0" borderId="0" xfId="0" applyFont="1" applyAlignment="1">
      <alignment horizontal="center" vertical="center"/>
    </xf>
    <xf numFmtId="0" fontId="5" fillId="0" borderId="0" xfId="0" applyFont="1" applyAlignment="1">
      <alignment horizontal="center" vertical="center"/>
    </xf>
    <xf numFmtId="0" fontId="5" fillId="0" borderId="5" xfId="0" applyFont="1" applyBorder="1" applyAlignment="1">
      <alignment horizontal="center" vertical="center"/>
    </xf>
    <xf numFmtId="0" fontId="6" fillId="0" borderId="5" xfId="0" applyFont="1" applyBorder="1" applyAlignment="1">
      <alignment vertical="center"/>
    </xf>
    <xf numFmtId="3" fontId="11" fillId="0" borderId="0" xfId="0" applyNumberFormat="1" applyFont="1" applyAlignment="1">
      <alignment horizontal="center" vertical="center"/>
    </xf>
    <xf numFmtId="0" fontId="9" fillId="0" borderId="0" xfId="0" applyFont="1" applyAlignment="1">
      <alignment horizontal="center" vertical="center"/>
    </xf>
    <xf numFmtId="0" fontId="12" fillId="0" borderId="0" xfId="0" applyFont="1" applyAlignment="1">
      <alignment horizontal="left" vertical="center"/>
    </xf>
    <xf numFmtId="0" fontId="12" fillId="0" borderId="0" xfId="0" applyFont="1" applyAlignment="1">
      <alignment horizontal="right" vertical="center"/>
    </xf>
    <xf numFmtId="0" fontId="12" fillId="0" borderId="0" xfId="0" applyFont="1" applyAlignment="1">
      <alignment vertical="center"/>
    </xf>
    <xf numFmtId="0" fontId="13" fillId="0" borderId="0" xfId="0" applyFont="1" applyAlignment="1">
      <alignment vertical="center"/>
    </xf>
    <xf numFmtId="0" fontId="13" fillId="0" borderId="5" xfId="0" applyFont="1" applyBorder="1" applyAlignment="1">
      <alignment vertical="center"/>
    </xf>
    <xf numFmtId="0" fontId="14" fillId="0" borderId="0" xfId="0" applyFont="1" applyAlignment="1">
      <alignment horizontal="right" vertical="center"/>
    </xf>
    <xf numFmtId="164" fontId="10" fillId="0" borderId="0" xfId="0" applyNumberFormat="1" applyFont="1" applyAlignment="1">
      <alignment horizontal="center" vertical="center"/>
    </xf>
    <xf numFmtId="0" fontId="7" fillId="0" borderId="0" xfId="0" applyFont="1" applyAlignment="1">
      <alignment vertical="center"/>
    </xf>
    <xf numFmtId="0" fontId="7" fillId="0" borderId="5" xfId="0" applyFont="1" applyBorder="1" applyAlignment="1">
      <alignment horizontal="center" vertical="center"/>
    </xf>
    <xf numFmtId="0" fontId="16" fillId="0" borderId="0" xfId="0" applyFont="1" applyAlignment="1">
      <alignment vertical="center"/>
    </xf>
    <xf numFmtId="0" fontId="16" fillId="0" borderId="4" xfId="0" applyFont="1" applyBorder="1" applyAlignment="1">
      <alignment horizontal="center" vertical="center"/>
    </xf>
    <xf numFmtId="0" fontId="16" fillId="0" borderId="0" xfId="0" applyFont="1" applyAlignment="1">
      <alignment horizontal="center" vertical="center"/>
    </xf>
    <xf numFmtId="0" fontId="16" fillId="0" borderId="5" xfId="0" applyFont="1" applyBorder="1" applyAlignment="1">
      <alignment horizontal="center" vertical="center"/>
    </xf>
    <xf numFmtId="0" fontId="17" fillId="0" borderId="4" xfId="0" applyFont="1" applyBorder="1" applyAlignment="1">
      <alignment vertical="center"/>
    </xf>
    <xf numFmtId="0" fontId="18" fillId="0" borderId="0" xfId="0" applyFont="1" applyAlignment="1">
      <alignment vertical="center"/>
    </xf>
    <xf numFmtId="0" fontId="19" fillId="0" borderId="0" xfId="0" applyFont="1" applyAlignment="1">
      <alignment horizontal="center" vertical="center"/>
    </xf>
    <xf numFmtId="0" fontId="17" fillId="0" borderId="0" xfId="0" applyFont="1" applyAlignment="1">
      <alignment vertical="center"/>
    </xf>
    <xf numFmtId="0" fontId="17" fillId="0" borderId="5" xfId="0" applyFont="1" applyBorder="1" applyAlignment="1">
      <alignment vertical="center"/>
    </xf>
    <xf numFmtId="0" fontId="7" fillId="0" borderId="0" xfId="0" applyFont="1" applyAlignment="1">
      <alignment horizontal="center" vertical="center"/>
    </xf>
    <xf numFmtId="165" fontId="17" fillId="0" borderId="0" xfId="0" applyNumberFormat="1" applyFont="1" applyAlignment="1">
      <alignment vertical="center"/>
    </xf>
    <xf numFmtId="0" fontId="17" fillId="0" borderId="7" xfId="0" applyFont="1" applyBorder="1" applyAlignment="1">
      <alignment vertical="center"/>
    </xf>
    <xf numFmtId="0" fontId="18" fillId="0" borderId="8" xfId="0" applyFont="1" applyBorder="1" applyAlignment="1">
      <alignment vertical="center"/>
    </xf>
    <xf numFmtId="0" fontId="17" fillId="0" borderId="8" xfId="0" applyFont="1" applyBorder="1" applyAlignment="1">
      <alignment vertical="center"/>
    </xf>
    <xf numFmtId="165" fontId="17" fillId="0" borderId="8" xfId="0" applyNumberFormat="1" applyFont="1" applyBorder="1" applyAlignment="1">
      <alignment vertical="center"/>
    </xf>
    <xf numFmtId="0" fontId="17" fillId="0" borderId="9" xfId="0" applyFont="1" applyBorder="1" applyAlignment="1">
      <alignment vertical="center"/>
    </xf>
    <xf numFmtId="0" fontId="0" fillId="0" borderId="0" xfId="0" applyAlignment="1"/>
    <xf numFmtId="0" fontId="0" fillId="0" borderId="1" xfId="0" applyBorder="1" applyAlignment="1"/>
    <xf numFmtId="0" fontId="0" fillId="0" borderId="2" xfId="0" applyBorder="1" applyAlignment="1"/>
    <xf numFmtId="0" fontId="0" fillId="0" borderId="3" xfId="0" applyBorder="1" applyAlignment="1"/>
    <xf numFmtId="0" fontId="0" fillId="0" borderId="4" xfId="0" applyBorder="1" applyAlignment="1"/>
    <xf numFmtId="0" fontId="13" fillId="0" borderId="0" xfId="0" applyFont="1" applyAlignment="1">
      <alignment horizontal="center" vertical="center" wrapText="1"/>
    </xf>
    <xf numFmtId="0" fontId="13" fillId="0" borderId="0" xfId="0" applyFont="1" applyAlignment="1">
      <alignment vertical="center" wrapText="1"/>
    </xf>
    <xf numFmtId="0" fontId="6" fillId="0" borderId="0" xfId="0" applyFont="1" applyAlignment="1">
      <alignment vertical="center" wrapText="1"/>
    </xf>
    <xf numFmtId="0" fontId="16" fillId="0" borderId="0" xfId="0" applyFont="1" applyAlignment="1">
      <alignment horizontal="center" vertical="center" wrapText="1"/>
    </xf>
    <xf numFmtId="0" fontId="0" fillId="0" borderId="7" xfId="0" applyBorder="1" applyAlignment="1"/>
    <xf numFmtId="0" fontId="16" fillId="0" borderId="8" xfId="0" applyFont="1" applyBorder="1" applyAlignment="1">
      <alignment horizontal="center" vertical="center" wrapText="1"/>
    </xf>
    <xf numFmtId="0" fontId="13" fillId="0" borderId="9" xfId="0" applyFont="1" applyBorder="1" applyAlignment="1">
      <alignment vertical="center"/>
    </xf>
    <xf numFmtId="0" fontId="4" fillId="0" borderId="0" xfId="0" applyFont="1" applyAlignment="1">
      <alignment horizontal="center" vertical="center"/>
    </xf>
    <xf numFmtId="0" fontId="4" fillId="0" borderId="0" xfId="0" applyFont="1" applyAlignment="1">
      <alignment horizontal="right" vertical="center"/>
    </xf>
    <xf numFmtId="0" fontId="5" fillId="0" borderId="0" xfId="0" applyFont="1" applyAlignment="1">
      <alignment horizontal="center" vertical="center"/>
    </xf>
    <xf numFmtId="0" fontId="6" fillId="0" borderId="0" xfId="0" applyFont="1" applyAlignment="1">
      <alignment vertical="center"/>
    </xf>
    <xf numFmtId="0" fontId="22" fillId="0" borderId="0" xfId="0" applyFont="1" applyAlignment="1">
      <alignment horizontal="center" vertical="center"/>
    </xf>
    <xf numFmtId="0" fontId="5" fillId="0" borderId="0" xfId="0" applyFont="1" applyAlignment="1">
      <alignment vertical="center"/>
    </xf>
    <xf numFmtId="0" fontId="11" fillId="0" borderId="0" xfId="0" applyFont="1" applyAlignment="1">
      <alignment vertical="center"/>
    </xf>
    <xf numFmtId="0" fontId="5" fillId="0" borderId="0" xfId="0" applyFont="1" applyAlignment="1"/>
    <xf numFmtId="0" fontId="5" fillId="0" borderId="0" xfId="0" applyFont="1" applyAlignment="1">
      <alignment wrapText="1"/>
    </xf>
    <xf numFmtId="0" fontId="11" fillId="0" borderId="0" xfId="0" applyFont="1" applyAlignment="1">
      <alignment wrapText="1"/>
    </xf>
    <xf numFmtId="0" fontId="12" fillId="0" borderId="0" xfId="0" applyFont="1" applyAlignment="1">
      <alignment horizontal="center" vertical="center"/>
    </xf>
    <xf numFmtId="0" fontId="21" fillId="0" borderId="0" xfId="0" applyFont="1" applyAlignment="1">
      <alignment horizontal="center" vertical="center"/>
    </xf>
    <xf numFmtId="0" fontId="7" fillId="2" borderId="10" xfId="0" applyFont="1" applyFill="1" applyBorder="1" applyAlignment="1">
      <alignment horizontal="center" vertical="center"/>
    </xf>
    <xf numFmtId="0" fontId="7" fillId="2" borderId="10" xfId="0" applyFont="1" applyFill="1" applyBorder="1" applyAlignment="1">
      <alignment horizontal="center" vertical="center" wrapText="1"/>
    </xf>
    <xf numFmtId="0" fontId="10" fillId="2" borderId="10" xfId="0" applyFont="1" applyFill="1" applyBorder="1" applyAlignment="1">
      <alignment horizontal="center" vertical="center"/>
    </xf>
    <xf numFmtId="0" fontId="23" fillId="0" borderId="10" xfId="0" applyFont="1" applyBorder="1" applyAlignment="1">
      <alignment horizontal="center" vertical="center"/>
    </xf>
    <xf numFmtId="0" fontId="44" fillId="0" borderId="16" xfId="0" applyFont="1" applyBorder="1" applyAlignment="1">
      <alignment horizontal="center" vertical="center" wrapText="1"/>
    </xf>
    <xf numFmtId="3" fontId="44" fillId="0" borderId="16" xfId="0" applyNumberFormat="1" applyFont="1" applyBorder="1" applyAlignment="1">
      <alignment horizontal="right" vertical="center" wrapText="1"/>
    </xf>
    <xf numFmtId="3" fontId="44" fillId="0" borderId="16" xfId="0" applyNumberFormat="1" applyFont="1" applyBorder="1" applyAlignment="1">
      <alignment horizontal="center" vertical="center" wrapText="1"/>
    </xf>
    <xf numFmtId="3" fontId="44" fillId="0" borderId="16" xfId="0" applyNumberFormat="1" applyFont="1" applyBorder="1" applyAlignment="1">
      <alignment horizontal="right" vertical="center" wrapText="1"/>
    </xf>
    <xf numFmtId="0" fontId="24" fillId="0" borderId="10" xfId="0" applyFont="1" applyBorder="1" applyAlignment="1">
      <alignment horizontal="center" vertical="center"/>
    </xf>
    <xf numFmtId="0" fontId="19" fillId="0" borderId="10" xfId="0" applyFont="1" applyBorder="1" applyAlignment="1">
      <alignment horizontal="left" vertical="center" wrapText="1"/>
    </xf>
    <xf numFmtId="0" fontId="25" fillId="0" borderId="0" xfId="0" applyFont="1" applyAlignment="1">
      <alignment vertical="center"/>
    </xf>
    <xf numFmtId="0" fontId="26" fillId="0" borderId="0" xfId="0" applyFont="1" applyAlignment="1">
      <alignment vertical="center"/>
    </xf>
    <xf numFmtId="0" fontId="27" fillId="0" borderId="0" xfId="0" applyFont="1" applyAlignment="1">
      <alignment vertical="center"/>
    </xf>
    <xf numFmtId="0" fontId="5" fillId="0" borderId="10" xfId="0" applyFont="1" applyBorder="1" applyAlignment="1">
      <alignment horizontal="center" vertical="center"/>
    </xf>
    <xf numFmtId="0" fontId="7" fillId="0" borderId="10" xfId="0" applyFont="1" applyBorder="1" applyAlignment="1">
      <alignment horizontal="center" vertical="center" wrapText="1"/>
    </xf>
    <xf numFmtId="3" fontId="45" fillId="0" borderId="16" xfId="0" applyNumberFormat="1" applyFont="1" applyBorder="1" applyAlignment="1">
      <alignment horizontal="right" vertical="center" wrapText="1"/>
    </xf>
    <xf numFmtId="3" fontId="45" fillId="0" borderId="16" xfId="0" applyNumberFormat="1" applyFont="1" applyBorder="1" applyAlignment="1">
      <alignment horizontal="right" vertical="center" wrapText="1"/>
    </xf>
    <xf numFmtId="3" fontId="45" fillId="0" borderId="16" xfId="0" applyNumberFormat="1" applyFont="1" applyBorder="1" applyAlignment="1">
      <alignment horizontal="center" vertical="center" wrapText="1"/>
    </xf>
    <xf numFmtId="0" fontId="5" fillId="0" borderId="11" xfId="0" applyFont="1" applyBorder="1" applyAlignment="1">
      <alignment horizontal="center" vertical="center"/>
    </xf>
    <xf numFmtId="0" fontId="7" fillId="0" borderId="12" xfId="0" applyFont="1" applyBorder="1" applyAlignment="1">
      <alignment horizontal="center" vertical="center" wrapText="1"/>
    </xf>
    <xf numFmtId="3" fontId="5" fillId="0" borderId="12" xfId="0" applyNumberFormat="1" applyFont="1" applyBorder="1" applyAlignment="1">
      <alignment horizontal="right" vertical="center" wrapText="1"/>
    </xf>
    <xf numFmtId="0" fontId="4" fillId="0" borderId="12" xfId="0" applyFont="1" applyBorder="1" applyAlignment="1">
      <alignment vertical="center"/>
    </xf>
    <xf numFmtId="0" fontId="28" fillId="0" borderId="0" xfId="0" applyFont="1" applyAlignment="1">
      <alignment horizontal="left" vertical="center"/>
    </xf>
    <xf numFmtId="0" fontId="19" fillId="0" borderId="0" xfId="0" applyFont="1" applyAlignment="1">
      <alignment horizontal="left" vertical="center"/>
    </xf>
    <xf numFmtId="3" fontId="45" fillId="0" borderId="16" xfId="0" applyNumberFormat="1" applyFont="1" applyBorder="1" applyAlignment="1">
      <alignment horizontal="right" vertical="center" wrapText="1"/>
    </xf>
    <xf numFmtId="0" fontId="29" fillId="0" borderId="0" xfId="0" applyFont="1" applyAlignment="1">
      <alignment vertical="center"/>
    </xf>
    <xf numFmtId="0" fontId="30" fillId="0" borderId="0" xfId="0" applyFont="1" applyAlignment="1">
      <alignment vertical="center"/>
    </xf>
    <xf numFmtId="0" fontId="5" fillId="0" borderId="0" xfId="0" applyFont="1" applyAlignment="1">
      <alignment horizontal="right" vertical="center"/>
    </xf>
    <xf numFmtId="0" fontId="4" fillId="0" borderId="0" xfId="0" applyFont="1" applyAlignment="1">
      <alignment horizontal="right" vertical="center" indent="1"/>
    </xf>
    <xf numFmtId="0" fontId="31" fillId="0" borderId="0" xfId="0" applyFont="1" applyAlignment="1">
      <alignment vertical="center"/>
    </xf>
    <xf numFmtId="0" fontId="17" fillId="0" borderId="0" xfId="0" applyFont="1" applyAlignment="1">
      <alignment vertical="center"/>
    </xf>
    <xf numFmtId="0" fontId="21" fillId="0" borderId="0" xfId="0" applyFont="1" applyAlignment="1">
      <alignment horizontal="right" vertical="center"/>
    </xf>
    <xf numFmtId="0" fontId="10" fillId="0" borderId="0" xfId="0" applyFont="1" applyAlignment="1">
      <alignment vertical="center" wrapText="1"/>
    </xf>
    <xf numFmtId="0" fontId="32" fillId="0" borderId="0" xfId="0" applyFont="1" applyAlignment="1">
      <alignment vertical="center" wrapText="1"/>
    </xf>
    <xf numFmtId="49" fontId="15" fillId="0" borderId="0" xfId="0" applyNumberFormat="1" applyFont="1" applyAlignment="1">
      <alignment vertical="center" wrapText="1"/>
    </xf>
    <xf numFmtId="49" fontId="15" fillId="2" borderId="10" xfId="0" applyNumberFormat="1" applyFont="1" applyFill="1" applyBorder="1" applyAlignment="1">
      <alignment horizontal="center" vertical="center" wrapText="1"/>
    </xf>
    <xf numFmtId="49" fontId="33" fillId="0" borderId="0" xfId="0" applyNumberFormat="1" applyFont="1" applyAlignment="1">
      <alignment vertical="center" wrapText="1"/>
    </xf>
    <xf numFmtId="0" fontId="44" fillId="0" borderId="16" xfId="0" applyFont="1" applyBorder="1" applyAlignment="1">
      <alignment horizontal="left" vertical="center" wrapText="1"/>
    </xf>
    <xf numFmtId="3" fontId="44" fillId="0" borderId="16" xfId="0" applyNumberFormat="1" applyFont="1" applyBorder="1" applyAlignment="1">
      <alignment horizontal="center" vertical="center" wrapText="1"/>
    </xf>
    <xf numFmtId="0" fontId="45" fillId="0" borderId="16" xfId="0" applyFont="1" applyBorder="1" applyAlignment="1">
      <alignment horizontal="left" vertical="center" wrapText="1"/>
    </xf>
    <xf numFmtId="0" fontId="5" fillId="0" borderId="0" xfId="0" applyFont="1" applyAlignment="1">
      <alignment horizontal="right" vertical="center" indent="1"/>
    </xf>
    <xf numFmtId="0" fontId="7" fillId="0" borderId="0" xfId="0" applyFont="1" applyAlignment="1">
      <alignment vertical="center" wrapText="1"/>
    </xf>
    <xf numFmtId="0" fontId="15" fillId="0" borderId="0" xfId="0" applyFont="1" applyAlignment="1">
      <alignment vertical="center"/>
    </xf>
    <xf numFmtId="0" fontId="15" fillId="2" borderId="10" xfId="0" applyFont="1" applyFill="1" applyBorder="1" applyAlignment="1">
      <alignment horizontal="center" vertical="center"/>
    </xf>
    <xf numFmtId="0" fontId="15" fillId="2" borderId="11" xfId="0" applyFont="1" applyFill="1" applyBorder="1" applyAlignment="1">
      <alignment horizontal="center" vertical="center"/>
    </xf>
    <xf numFmtId="0" fontId="15" fillId="2" borderId="10" xfId="0" applyFont="1" applyFill="1" applyBorder="1" applyAlignment="1">
      <alignment horizontal="center" vertical="center" wrapText="1"/>
    </xf>
    <xf numFmtId="0" fontId="19" fillId="0" borderId="0" xfId="0" applyFont="1" applyAlignment="1">
      <alignment vertical="center"/>
    </xf>
    <xf numFmtId="0" fontId="19" fillId="0" borderId="10" xfId="0" applyFont="1" applyBorder="1" applyAlignment="1">
      <alignment horizontal="center" vertical="center"/>
    </xf>
    <xf numFmtId="0" fontId="35" fillId="0" borderId="0" xfId="0" applyFont="1" applyAlignment="1"/>
    <xf numFmtId="165" fontId="5" fillId="0" borderId="10" xfId="0" applyNumberFormat="1" applyFont="1" applyBorder="1" applyAlignment="1">
      <alignment vertical="center"/>
    </xf>
    <xf numFmtId="0" fontId="5" fillId="0" borderId="10" xfId="0" applyFont="1" applyBorder="1" applyAlignment="1">
      <alignment vertical="center"/>
    </xf>
    <xf numFmtId="0" fontId="5" fillId="0" borderId="10" xfId="0" applyFont="1" applyBorder="1" applyAlignment="1">
      <alignment horizontal="center" vertical="center" wrapText="1"/>
    </xf>
    <xf numFmtId="3" fontId="5" fillId="0" borderId="10" xfId="0" applyNumberFormat="1" applyFont="1" applyBorder="1" applyAlignment="1">
      <alignment horizontal="center" vertical="center"/>
    </xf>
    <xf numFmtId="0" fontId="7" fillId="0" borderId="10" xfId="0" applyFont="1" applyBorder="1" applyAlignment="1">
      <alignment horizontal="center" vertical="center" wrapText="1"/>
    </xf>
    <xf numFmtId="165" fontId="7" fillId="0" borderId="10" xfId="0" applyNumberFormat="1" applyFont="1" applyBorder="1" applyAlignment="1">
      <alignment horizontal="right" vertical="center" wrapText="1"/>
    </xf>
    <xf numFmtId="3" fontId="7" fillId="0" borderId="10" xfId="0" applyNumberFormat="1" applyFont="1" applyBorder="1" applyAlignment="1">
      <alignment horizontal="right" vertical="center"/>
    </xf>
    <xf numFmtId="0" fontId="10" fillId="0" borderId="0" xfId="0" applyFont="1" applyAlignment="1">
      <alignment vertical="center"/>
    </xf>
    <xf numFmtId="0" fontId="12" fillId="0" borderId="0" xfId="0" applyFont="1" applyAlignment="1">
      <alignment vertical="center"/>
    </xf>
    <xf numFmtId="0" fontId="5" fillId="0" borderId="0" xfId="0" applyFont="1" applyAlignment="1">
      <alignment vertical="center" wrapText="1"/>
    </xf>
    <xf numFmtId="0" fontId="36" fillId="0" borderId="0" xfId="0" applyFont="1" applyAlignment="1">
      <alignment vertical="center"/>
    </xf>
    <xf numFmtId="0" fontId="37" fillId="0" borderId="0" xfId="0" applyFont="1" applyAlignment="1"/>
    <xf numFmtId="0" fontId="38" fillId="0" borderId="0" xfId="0" applyFont="1" applyAlignment="1">
      <alignment horizontal="center" vertical="center"/>
    </xf>
    <xf numFmtId="0" fontId="37" fillId="0" borderId="0" xfId="0" applyFont="1" applyAlignment="1">
      <alignment wrapText="1"/>
    </xf>
    <xf numFmtId="0" fontId="40" fillId="0" borderId="0" xfId="0" applyFont="1" applyAlignment="1"/>
    <xf numFmtId="0" fontId="39" fillId="0" borderId="0" xfId="0" applyFont="1" applyAlignment="1">
      <alignment vertical="center"/>
    </xf>
    <xf numFmtId="0" fontId="4" fillId="0" borderId="0" xfId="0" applyFont="1" applyAlignment="1">
      <alignment vertical="center" wrapText="1"/>
    </xf>
    <xf numFmtId="0" fontId="7" fillId="0" borderId="0" xfId="0" applyFont="1" applyAlignment="1">
      <alignment vertical="center"/>
    </xf>
    <xf numFmtId="0" fontId="5" fillId="0" borderId="14" xfId="0" applyFont="1" applyBorder="1" applyAlignment="1">
      <alignment vertical="center" wrapText="1"/>
    </xf>
    <xf numFmtId="49" fontId="7" fillId="0" borderId="10" xfId="0" applyNumberFormat="1" applyFont="1" applyBorder="1" applyAlignment="1">
      <alignment horizontal="center" vertical="center" wrapText="1"/>
    </xf>
    <xf numFmtId="165" fontId="5" fillId="0" borderId="10" xfId="0" applyNumberFormat="1" applyFont="1" applyBorder="1" applyAlignment="1">
      <alignment horizontal="center" vertical="center" wrapText="1"/>
    </xf>
    <xf numFmtId="0" fontId="0" fillId="0" borderId="0" xfId="0" applyAlignment="1">
      <alignment wrapText="1"/>
    </xf>
    <xf numFmtId="0" fontId="41" fillId="0" borderId="0" xfId="0" applyFont="1" applyAlignment="1">
      <alignment horizontal="center" vertical="center"/>
    </xf>
    <xf numFmtId="0" fontId="42" fillId="0" borderId="0" xfId="0" applyFont="1" applyAlignment="1">
      <alignment vertical="center" wrapText="1"/>
    </xf>
    <xf numFmtId="0" fontId="42" fillId="0" borderId="0" xfId="0" applyFont="1" applyAlignment="1">
      <alignment vertical="center"/>
    </xf>
    <xf numFmtId="0" fontId="43" fillId="0" borderId="0" xfId="0" applyFont="1" applyAlignment="1"/>
    <xf numFmtId="0" fontId="34" fillId="0" borderId="0" xfId="0" applyFont="1" applyAlignment="1">
      <alignment vertical="center"/>
    </xf>
    <xf numFmtId="0" fontId="44" fillId="0" borderId="16" xfId="0" applyFont="1" applyBorder="1" applyAlignment="1">
      <alignment horizontal="left" vertical="center" wrapText="1"/>
    </xf>
    <xf numFmtId="3" fontId="44" fillId="0" borderId="16" xfId="0" applyNumberFormat="1" applyFont="1" applyBorder="1" applyAlignment="1">
      <alignment horizontal="left" vertical="center" wrapText="1"/>
    </xf>
    <xf numFmtId="165" fontId="44" fillId="0" borderId="16" xfId="0" applyNumberFormat="1" applyFont="1" applyBorder="1" applyAlignment="1">
      <alignment horizontal="left" vertical="center" wrapText="1"/>
    </xf>
    <xf numFmtId="3" fontId="44" fillId="0" borderId="16" xfId="0" applyNumberFormat="1" applyFont="1" applyBorder="1" applyAlignment="1">
      <alignment horizontal="center" vertical="center" wrapText="1"/>
    </xf>
    <xf numFmtId="165" fontId="44" fillId="0" borderId="16" xfId="0" applyNumberFormat="1" applyFont="1" applyBorder="1" applyAlignment="1">
      <alignment horizontal="left" vertical="center" wrapText="1"/>
    </xf>
    <xf numFmtId="3" fontId="44" fillId="0" borderId="16" xfId="0" applyNumberFormat="1" applyFont="1" applyBorder="1" applyAlignment="1">
      <alignment horizontal="left" vertical="center" wrapText="1"/>
    </xf>
    <xf numFmtId="166" fontId="44" fillId="0" borderId="16" xfId="0" applyNumberFormat="1" applyFont="1" applyBorder="1" applyAlignment="1">
      <alignment horizontal="left" vertical="center" wrapText="1"/>
    </xf>
    <xf numFmtId="49" fontId="44" fillId="0" borderId="16" xfId="0" applyNumberFormat="1" applyFont="1" applyBorder="1" applyAlignment="1">
      <alignment horizontal="left" vertical="center" wrapText="1"/>
    </xf>
    <xf numFmtId="0" fontId="44" fillId="0" borderId="16" xfId="0" applyFont="1" applyBorder="1" applyAlignment="1">
      <alignment horizontal="right" vertical="center" wrapText="1"/>
    </xf>
    <xf numFmtId="165" fontId="44" fillId="0" borderId="16" xfId="0" applyNumberFormat="1" applyFont="1" applyBorder="1" applyAlignment="1">
      <alignment horizontal="right" vertical="center" wrapText="1"/>
    </xf>
    <xf numFmtId="0" fontId="45" fillId="0" borderId="16" xfId="0" applyFont="1" applyBorder="1" applyAlignment="1">
      <alignment horizontal="center" vertical="center" wrapText="1"/>
    </xf>
    <xf numFmtId="0" fontId="45" fillId="0" borderId="16" xfId="0" applyFont="1" applyBorder="1" applyAlignment="1">
      <alignment horizontal="right" vertical="center" wrapText="1"/>
    </xf>
    <xf numFmtId="165" fontId="45" fillId="0" borderId="16" xfId="0" applyNumberFormat="1" applyFont="1" applyBorder="1" applyAlignment="1">
      <alignment horizontal="left" vertical="center" wrapText="1"/>
    </xf>
    <xf numFmtId="165" fontId="45" fillId="0" borderId="16" xfId="0" applyNumberFormat="1" applyFont="1" applyBorder="1" applyAlignment="1">
      <alignment horizontal="right" vertical="center" wrapText="1"/>
    </xf>
    <xf numFmtId="3" fontId="45" fillId="0" borderId="16" xfId="0" applyNumberFormat="1" applyFont="1" applyBorder="1" applyAlignment="1">
      <alignment horizontal="left" vertical="center" wrapText="1"/>
    </xf>
    <xf numFmtId="0" fontId="5" fillId="0" borderId="1" xfId="0" applyFont="1" applyBorder="1" applyAlignment="1">
      <alignment horizontal="center" vertical="center"/>
    </xf>
    <xf numFmtId="0" fontId="0" fillId="0" borderId="2" xfId="0" applyBorder="1"/>
    <xf numFmtId="0" fontId="13" fillId="0" borderId="0" xfId="0" applyFont="1" applyAlignment="1">
      <alignment horizontal="right" vertical="center"/>
    </xf>
    <xf numFmtId="0" fontId="0" fillId="0" borderId="0" xfId="0" applyAlignment="1">
      <alignment vertical="center"/>
    </xf>
    <xf numFmtId="0" fontId="7" fillId="0" borderId="5" xfId="0" applyFont="1" applyBorder="1" applyAlignment="1">
      <alignment horizontal="center" vertical="center"/>
    </xf>
    <xf numFmtId="0" fontId="0" fillId="0" borderId="5" xfId="0" applyBorder="1"/>
    <xf numFmtId="0" fontId="15" fillId="0" borderId="5" xfId="0" applyFont="1" applyBorder="1" applyAlignment="1">
      <alignment horizontal="center" vertical="center"/>
    </xf>
    <xf numFmtId="0" fontId="8" fillId="0" borderId="6" xfId="0" applyFont="1" applyBorder="1" applyAlignment="1">
      <alignment horizontal="center" vertical="center" wrapText="1"/>
    </xf>
    <xf numFmtId="0" fontId="15" fillId="0" borderId="4" xfId="0" applyFont="1" applyBorder="1" applyAlignment="1">
      <alignment horizontal="center" vertical="center"/>
    </xf>
    <xf numFmtId="0" fontId="19" fillId="0" borderId="0" xfId="0" applyFont="1" applyAlignment="1">
      <alignment horizontal="center" vertical="center"/>
    </xf>
    <xf numFmtId="164" fontId="12" fillId="0" borderId="0" xfId="0" applyNumberFormat="1" applyFont="1" applyAlignment="1">
      <alignment horizontal="center" vertical="center"/>
    </xf>
    <xf numFmtId="3" fontId="10" fillId="0" borderId="6" xfId="0" applyNumberFormat="1" applyFont="1" applyBorder="1" applyAlignment="1">
      <alignment horizontal="center" vertical="center" wrapText="1"/>
    </xf>
    <xf numFmtId="0" fontId="7" fillId="0" borderId="3" xfId="0" applyFont="1" applyBorder="1" applyAlignment="1">
      <alignment horizontal="center" vertical="center"/>
    </xf>
    <xf numFmtId="0" fontId="0" fillId="0" borderId="3" xfId="0" applyBorder="1"/>
    <xf numFmtId="0" fontId="7" fillId="0" borderId="4" xfId="0" applyFont="1" applyBorder="1" applyAlignment="1">
      <alignment horizontal="center" vertical="center"/>
    </xf>
    <xf numFmtId="0" fontId="7" fillId="0" borderId="0" xfId="0" applyFont="1" applyAlignment="1">
      <alignment horizontal="center" vertical="center"/>
    </xf>
    <xf numFmtId="0" fontId="13" fillId="0" borderId="4" xfId="0" applyFont="1" applyBorder="1" applyAlignment="1">
      <alignment horizontal="center" vertical="center"/>
    </xf>
    <xf numFmtId="0" fontId="0" fillId="0" borderId="0" xfId="0" applyAlignment="1"/>
    <xf numFmtId="0" fontId="21" fillId="0" borderId="5" xfId="0" applyFont="1" applyBorder="1" applyAlignment="1">
      <alignment horizontal="left" vertical="center" wrapText="1"/>
    </xf>
    <xf numFmtId="0" fontId="6" fillId="0" borderId="5" xfId="0" applyFont="1" applyBorder="1" applyAlignment="1">
      <alignment horizontal="left" vertical="center" wrapText="1"/>
    </xf>
    <xf numFmtId="0" fontId="13" fillId="0" borderId="0" xfId="0" applyFont="1" applyAlignment="1">
      <alignment horizontal="left" vertical="center" wrapText="1"/>
    </xf>
    <xf numFmtId="0" fontId="5" fillId="0" borderId="0" xfId="0" applyFont="1" applyAlignment="1">
      <alignment horizontal="center" vertical="center"/>
    </xf>
    <xf numFmtId="0" fontId="6" fillId="0" borderId="0" xfId="0" applyFont="1" applyAlignment="1">
      <alignment horizontal="left" vertical="center" wrapText="1"/>
    </xf>
    <xf numFmtId="3" fontId="10" fillId="0" borderId="5" xfId="0" applyNumberFormat="1" applyFont="1" applyBorder="1" applyAlignment="1">
      <alignment horizontal="left" vertical="center" wrapText="1"/>
    </xf>
    <xf numFmtId="0" fontId="20" fillId="0" borderId="5" xfId="0" applyFont="1" applyBorder="1" applyAlignment="1">
      <alignment horizontal="center" vertical="center" wrapText="1"/>
    </xf>
    <xf numFmtId="0" fontId="6" fillId="0" borderId="8" xfId="0" applyFont="1" applyBorder="1" applyAlignment="1">
      <alignment horizontal="left" vertical="center" wrapText="1"/>
    </xf>
    <xf numFmtId="0" fontId="0" fillId="0" borderId="8" xfId="0" applyBorder="1"/>
    <xf numFmtId="0" fontId="7" fillId="2" borderId="10" xfId="0" applyFont="1" applyFill="1" applyBorder="1" applyAlignment="1">
      <alignment horizontal="center" vertical="center"/>
    </xf>
    <xf numFmtId="0" fontId="0" fillId="0" borderId="12" xfId="0" applyBorder="1"/>
    <xf numFmtId="0" fontId="0" fillId="0" borderId="15" xfId="0" applyBorder="1"/>
    <xf numFmtId="0" fontId="19" fillId="0" borderId="10" xfId="0" applyFont="1" applyBorder="1" applyAlignment="1">
      <alignment horizontal="left" vertical="center" wrapText="1"/>
    </xf>
    <xf numFmtId="0" fontId="4" fillId="0" borderId="0" xfId="0" applyFont="1" applyAlignment="1">
      <alignment vertical="center"/>
    </xf>
    <xf numFmtId="0" fontId="7" fillId="0" borderId="10" xfId="0" applyFont="1" applyBorder="1" applyAlignment="1">
      <alignment horizontal="left" vertical="center" wrapText="1"/>
    </xf>
    <xf numFmtId="0" fontId="10" fillId="0" borderId="0" xfId="0" applyFont="1" applyAlignment="1">
      <alignment horizontal="center" vertical="center"/>
    </xf>
    <xf numFmtId="0" fontId="6" fillId="0" borderId="0" xfId="0" applyFont="1" applyAlignment="1">
      <alignment vertical="center"/>
    </xf>
    <xf numFmtId="0" fontId="7" fillId="0" borderId="10" xfId="0" applyFont="1" applyBorder="1" applyAlignment="1">
      <alignment horizontal="center" vertical="center" wrapText="1"/>
    </xf>
    <xf numFmtId="0" fontId="19" fillId="0" borderId="0" xfId="0" applyFont="1" applyAlignment="1">
      <alignment horizontal="left" vertical="center"/>
    </xf>
    <xf numFmtId="0" fontId="29" fillId="0" borderId="0" xfId="0" applyFont="1" applyAlignment="1">
      <alignment vertical="center"/>
    </xf>
    <xf numFmtId="0" fontId="19" fillId="0" borderId="0" xfId="0" applyFont="1" applyAlignment="1">
      <alignment horizontal="center"/>
    </xf>
    <xf numFmtId="0" fontId="4" fillId="0" borderId="0" xfId="0" applyFont="1" applyAlignment="1">
      <alignment horizontal="right" vertical="center"/>
    </xf>
    <xf numFmtId="0" fontId="28" fillId="0" borderId="11" xfId="0" applyFont="1" applyBorder="1" applyAlignment="1">
      <alignment horizontal="left" vertical="center"/>
    </xf>
    <xf numFmtId="0" fontId="23" fillId="0" borderId="10" xfId="0" applyFont="1" applyBorder="1" applyAlignment="1">
      <alignment horizontal="left" vertical="center" wrapText="1"/>
    </xf>
    <xf numFmtId="0" fontId="7" fillId="0" borderId="0" xfId="0" applyFont="1" applyAlignment="1">
      <alignment horizontal="center"/>
    </xf>
    <xf numFmtId="0" fontId="7" fillId="2" borderId="10" xfId="0" applyFont="1" applyFill="1" applyBorder="1" applyAlignment="1">
      <alignment horizontal="center" vertical="center" wrapText="1"/>
    </xf>
    <xf numFmtId="49" fontId="15" fillId="2" borderId="10" xfId="0" applyNumberFormat="1" applyFont="1" applyFill="1" applyBorder="1" applyAlignment="1">
      <alignment horizontal="center" vertical="center" wrapText="1"/>
    </xf>
    <xf numFmtId="0" fontId="5" fillId="0" borderId="0" xfId="0" applyFont="1" applyAlignment="1">
      <alignment vertical="center"/>
    </xf>
    <xf numFmtId="0" fontId="5" fillId="0" borderId="0" xfId="0" applyFont="1" applyAlignment="1">
      <alignment horizontal="right" vertical="center"/>
    </xf>
    <xf numFmtId="0" fontId="5" fillId="0" borderId="0" xfId="0" applyFont="1" applyAlignment="1">
      <alignment horizontal="right" vertical="center" indent="1"/>
    </xf>
    <xf numFmtId="0" fontId="7" fillId="0" borderId="0" xfId="0" applyFont="1" applyAlignment="1">
      <alignment horizontal="center" vertical="center" wrapText="1"/>
    </xf>
    <xf numFmtId="0" fontId="5" fillId="0" borderId="13" xfId="0" applyFont="1" applyBorder="1" applyAlignment="1">
      <alignment horizontal="left" vertical="center" wrapText="1"/>
    </xf>
    <xf numFmtId="0" fontId="37" fillId="0" borderId="0" xfId="0" applyFont="1" applyAlignment="1">
      <alignment wrapText="1"/>
    </xf>
  </cellXfs>
  <cellStyles count="8">
    <cellStyle name="Comma 2" xfId="1"/>
    <cellStyle name="Normal" xfId="0" builtinId="0"/>
    <cellStyle name="Normal 2" xfId="2"/>
    <cellStyle name="Normal 2 2" xfId="3"/>
    <cellStyle name="Normal 3" xfId="4"/>
    <cellStyle name="Normal 4" xfId="5"/>
    <cellStyle name="Normal 4 2" xfId="6"/>
    <cellStyle name="Normal 5"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W28"/>
  <sheetViews>
    <sheetView zoomScaleNormal="100" workbookViewId="0"/>
  </sheetViews>
  <sheetFormatPr defaultColWidth="9.140625" defaultRowHeight="12.75"/>
  <cols>
    <col min="1" max="2" width="9.140625" style="1" customWidth="1"/>
    <col min="3" max="3" width="11.5703125" style="1" customWidth="1"/>
    <col min="4" max="4" width="9.140625" style="1" customWidth="1"/>
    <col min="5" max="5" width="10.85546875" style="1" customWidth="1"/>
    <col min="6" max="6" width="11" style="1" customWidth="1"/>
    <col min="7" max="7" width="9.140625" style="1" customWidth="1"/>
    <col min="8" max="8" width="12.140625" style="1" customWidth="1"/>
    <col min="9" max="11" width="9.140625" style="1" customWidth="1"/>
    <col min="12" max="12" width="21.140625" style="1" customWidth="1"/>
    <col min="13" max="13" width="18.7109375" style="1" customWidth="1"/>
    <col min="14" max="14" width="47.28515625" style="1" customWidth="1"/>
    <col min="15" max="257" width="9.140625" style="1" customWidth="1"/>
  </cols>
  <sheetData>
    <row r="1" spans="1:13" s="2" customFormat="1" ht="13.5" customHeight="1">
      <c r="L1" s="2" t="s">
        <v>0</v>
      </c>
    </row>
    <row r="2" spans="1:13" ht="16.5" customHeight="1">
      <c r="A2" s="152" t="s">
        <v>1</v>
      </c>
      <c r="B2" s="153"/>
      <c r="C2" s="153"/>
      <c r="D2" s="153"/>
      <c r="E2" s="153"/>
      <c r="F2" s="153"/>
      <c r="G2" s="3"/>
      <c r="H2" s="3"/>
      <c r="I2" s="164" t="s">
        <v>2</v>
      </c>
      <c r="J2" s="153"/>
      <c r="K2" s="153"/>
      <c r="L2" s="153"/>
      <c r="M2" s="165"/>
    </row>
    <row r="3" spans="1:13" ht="16.5" customHeight="1">
      <c r="A3" s="166" t="s">
        <v>3</v>
      </c>
      <c r="B3" s="155"/>
      <c r="C3" s="155"/>
      <c r="D3" s="155"/>
      <c r="E3" s="155"/>
      <c r="F3" s="155"/>
      <c r="G3" s="4"/>
      <c r="H3" s="4"/>
      <c r="I3" s="156" t="s">
        <v>4</v>
      </c>
      <c r="J3" s="155"/>
      <c r="K3" s="155"/>
      <c r="L3" s="155"/>
      <c r="M3" s="157"/>
    </row>
    <row r="4" spans="1:13" ht="16.5" customHeight="1">
      <c r="A4" s="5"/>
      <c r="B4" s="6"/>
      <c r="C4" s="6"/>
      <c r="D4" s="6"/>
      <c r="E4" s="6"/>
      <c r="F4" s="4"/>
      <c r="G4" s="4"/>
      <c r="H4" s="4"/>
      <c r="I4" s="4"/>
      <c r="J4" s="6"/>
      <c r="K4" s="7"/>
      <c r="L4" s="7"/>
      <c r="M4" s="8"/>
    </row>
    <row r="5" spans="1:13" ht="15.75" customHeight="1">
      <c r="A5" s="5"/>
      <c r="B5" s="4"/>
      <c r="C5" s="4"/>
      <c r="D5" s="4"/>
      <c r="E5" s="4"/>
      <c r="F5" s="4"/>
      <c r="G5" s="4"/>
      <c r="H5" s="4"/>
      <c r="I5" s="4"/>
      <c r="J5" s="4"/>
      <c r="K5" s="4"/>
      <c r="L5" s="4"/>
      <c r="M5" s="9"/>
    </row>
    <row r="6" spans="1:13" ht="15.75" customHeight="1">
      <c r="A6" s="5"/>
      <c r="B6" s="4"/>
      <c r="C6" s="4"/>
      <c r="D6" s="4"/>
      <c r="E6" s="4"/>
      <c r="F6" s="4"/>
      <c r="G6" s="4"/>
      <c r="H6" s="4"/>
      <c r="I6" s="4"/>
      <c r="J6" s="4"/>
      <c r="K6" s="4"/>
      <c r="L6" s="4"/>
      <c r="M6" s="9"/>
    </row>
    <row r="7" spans="1:13" ht="15.75" customHeight="1">
      <c r="A7" s="5"/>
      <c r="B7" s="4"/>
      <c r="C7" s="4"/>
      <c r="D7" s="4"/>
      <c r="E7" s="4"/>
      <c r="F7" s="4"/>
      <c r="G7" s="4"/>
      <c r="H7" s="4"/>
      <c r="I7" s="4"/>
      <c r="J7" s="4"/>
      <c r="K7" s="4"/>
      <c r="L7" s="4"/>
      <c r="M7" s="9"/>
    </row>
    <row r="8" spans="1:13" ht="87" customHeight="1">
      <c r="A8" s="159" t="s">
        <v>5</v>
      </c>
      <c r="B8" s="155"/>
      <c r="C8" s="155"/>
      <c r="D8" s="155"/>
      <c r="E8" s="155"/>
      <c r="F8" s="155"/>
      <c r="G8" s="155"/>
      <c r="H8" s="155"/>
      <c r="I8" s="155"/>
      <c r="J8" s="155"/>
      <c r="K8" s="155"/>
      <c r="L8" s="155"/>
      <c r="M8" s="157"/>
    </row>
    <row r="9" spans="1:13" ht="18.75" customHeight="1">
      <c r="A9" s="163" t="str">
        <f>"Nhiệm vụ:"&amp;'Tong hop'!D6</f>
        <v>Nhiệm vụ:Nghiên cứu làm chủ thiết bị Băng tần 5G BBU / gNodeB</v>
      </c>
      <c r="B9" s="155"/>
      <c r="C9" s="155"/>
      <c r="D9" s="155"/>
      <c r="E9" s="155"/>
      <c r="F9" s="155"/>
      <c r="G9" s="155"/>
      <c r="H9" s="155"/>
      <c r="I9" s="155"/>
      <c r="J9" s="155"/>
      <c r="K9" s="155"/>
      <c r="L9" s="155"/>
      <c r="M9" s="157"/>
    </row>
    <row r="10" spans="1:13" ht="23.25" customHeight="1">
      <c r="A10" s="5"/>
      <c r="B10" s="4"/>
      <c r="C10" s="4"/>
      <c r="D10" s="4"/>
      <c r="E10" s="4"/>
      <c r="F10" s="4"/>
      <c r="G10" s="10"/>
      <c r="H10" s="11"/>
      <c r="I10" s="4"/>
      <c r="J10" s="4"/>
      <c r="K10" s="4"/>
      <c r="L10" s="4"/>
      <c r="M10" s="9"/>
    </row>
    <row r="11" spans="1:13" s="1" customFormat="1" ht="15.75" customHeight="1">
      <c r="A11" s="5"/>
      <c r="B11" s="4"/>
      <c r="C11" s="4"/>
      <c r="D11" s="4"/>
      <c r="E11" s="12"/>
      <c r="F11" s="13"/>
      <c r="G11" s="162"/>
      <c r="H11" s="155"/>
      <c r="I11" s="14"/>
      <c r="K11" s="4"/>
      <c r="L11" s="4"/>
      <c r="M11" s="9"/>
    </row>
    <row r="12" spans="1:13" s="1" customFormat="1" ht="16.149999999999999" customHeight="1">
      <c r="A12" s="168"/>
      <c r="B12" s="155"/>
      <c r="C12" s="154"/>
      <c r="D12" s="155"/>
      <c r="E12" s="15"/>
      <c r="F12" s="15"/>
      <c r="G12" s="15"/>
      <c r="H12" s="15"/>
      <c r="I12" s="15"/>
      <c r="J12" s="15"/>
      <c r="K12" s="15"/>
      <c r="L12" s="15"/>
      <c r="M12" s="16"/>
    </row>
    <row r="13" spans="1:13" ht="14.25" customHeight="1">
      <c r="A13" s="5"/>
      <c r="B13" s="4"/>
      <c r="C13" s="4"/>
      <c r="D13" s="4"/>
      <c r="E13" s="4"/>
      <c r="F13" s="17"/>
      <c r="G13" s="18"/>
      <c r="H13" s="18"/>
      <c r="I13" s="4"/>
      <c r="J13" s="14"/>
      <c r="K13" s="4"/>
      <c r="L13" s="4"/>
      <c r="M13" s="9"/>
    </row>
    <row r="14" spans="1:13" ht="16.5" customHeight="1">
      <c r="A14" s="166"/>
      <c r="B14" s="155"/>
      <c r="C14" s="155"/>
      <c r="D14" s="155"/>
      <c r="E14" s="155"/>
      <c r="F14" s="19"/>
      <c r="G14" s="19"/>
      <c r="H14" s="19"/>
      <c r="I14" s="156"/>
      <c r="J14" s="155"/>
      <c r="K14" s="155"/>
      <c r="L14" s="155"/>
      <c r="M14" s="157"/>
    </row>
    <row r="15" spans="1:13" ht="15" customHeight="1">
      <c r="A15" s="160"/>
      <c r="B15" s="155"/>
      <c r="C15" s="155"/>
      <c r="D15" s="155"/>
      <c r="E15" s="155"/>
      <c r="F15" s="21"/>
      <c r="G15" s="21"/>
      <c r="H15" s="21"/>
      <c r="I15" s="158"/>
      <c r="J15" s="155"/>
      <c r="K15" s="155"/>
      <c r="L15" s="155"/>
      <c r="M15" s="157"/>
    </row>
    <row r="16" spans="1:13" ht="15" customHeight="1">
      <c r="A16" s="22"/>
      <c r="B16" s="23"/>
      <c r="C16" s="23"/>
      <c r="D16" s="23"/>
      <c r="E16" s="23"/>
      <c r="F16" s="23"/>
      <c r="G16" s="23"/>
      <c r="H16" s="23"/>
      <c r="I16" s="23"/>
      <c r="J16" s="23"/>
      <c r="K16" s="23"/>
      <c r="L16" s="23"/>
      <c r="M16" s="24"/>
    </row>
    <row r="17" spans="1:13" ht="15" customHeight="1">
      <c r="A17" s="22"/>
      <c r="B17" s="23"/>
      <c r="C17" s="23"/>
      <c r="D17" s="23"/>
      <c r="E17" s="23"/>
      <c r="F17" s="23"/>
      <c r="G17" s="23"/>
      <c r="H17" s="23"/>
      <c r="I17" s="23"/>
      <c r="J17" s="23"/>
      <c r="K17" s="23"/>
      <c r="L17" s="23"/>
      <c r="M17" s="24"/>
    </row>
    <row r="18" spans="1:13" ht="15" customHeight="1">
      <c r="A18" s="22"/>
      <c r="B18" s="23"/>
      <c r="C18" s="23"/>
      <c r="D18" s="23"/>
      <c r="E18" s="23"/>
      <c r="F18" s="23"/>
      <c r="G18" s="23"/>
      <c r="H18" s="23"/>
      <c r="I18" s="23"/>
      <c r="J18" s="23"/>
      <c r="K18" s="23"/>
      <c r="L18" s="23"/>
      <c r="M18" s="24"/>
    </row>
    <row r="19" spans="1:13" ht="15.75" customHeight="1">
      <c r="A19" s="5"/>
      <c r="B19" s="4"/>
      <c r="C19" s="4"/>
      <c r="D19" s="4"/>
      <c r="E19" s="4"/>
      <c r="F19" s="4"/>
      <c r="G19" s="4"/>
      <c r="H19" s="4"/>
      <c r="I19" s="4"/>
      <c r="J19" s="4"/>
      <c r="K19" s="4"/>
      <c r="L19" s="4"/>
      <c r="M19" s="9"/>
    </row>
    <row r="20" spans="1:13" ht="16.5" customHeight="1">
      <c r="A20" s="25"/>
      <c r="B20" s="26"/>
      <c r="C20" s="26"/>
      <c r="D20" s="26"/>
      <c r="E20" s="161"/>
      <c r="F20" s="155"/>
      <c r="G20" s="155"/>
      <c r="H20" s="155"/>
      <c r="I20" s="155"/>
      <c r="J20" s="155"/>
      <c r="K20" s="26"/>
      <c r="L20" s="28"/>
      <c r="M20" s="29"/>
    </row>
    <row r="21" spans="1:13" ht="16.5" customHeight="1">
      <c r="A21" s="25"/>
      <c r="B21" s="26"/>
      <c r="C21" s="26"/>
      <c r="D21" s="26"/>
      <c r="E21" s="167"/>
      <c r="F21" s="155"/>
      <c r="G21" s="155"/>
      <c r="H21" s="155"/>
      <c r="I21" s="155"/>
      <c r="J21" s="155"/>
      <c r="K21" s="26"/>
      <c r="L21" s="28"/>
      <c r="M21" s="29"/>
    </row>
    <row r="22" spans="1:13" ht="16.5" customHeight="1">
      <c r="A22" s="25"/>
      <c r="B22" s="26"/>
      <c r="C22" s="26"/>
      <c r="D22" s="26"/>
      <c r="E22" s="161"/>
      <c r="F22" s="155"/>
      <c r="G22" s="155"/>
      <c r="H22" s="155"/>
      <c r="I22" s="155"/>
      <c r="J22" s="155"/>
      <c r="K22" s="26"/>
      <c r="L22" s="28"/>
      <c r="M22" s="29"/>
    </row>
    <row r="23" spans="1:13" ht="16.5" customHeight="1">
      <c r="A23" s="25"/>
      <c r="B23" s="26"/>
      <c r="C23" s="26"/>
      <c r="D23" s="26"/>
      <c r="E23" s="27"/>
      <c r="F23" s="27"/>
      <c r="G23" s="27"/>
      <c r="H23" s="27"/>
      <c r="I23" s="27"/>
      <c r="J23" s="27"/>
      <c r="K23" s="26"/>
      <c r="L23" s="28"/>
      <c r="M23" s="29"/>
    </row>
    <row r="24" spans="1:13" ht="16.5" customHeight="1">
      <c r="A24" s="25"/>
      <c r="B24" s="26"/>
      <c r="C24" s="26"/>
      <c r="D24" s="26"/>
      <c r="E24" s="27"/>
      <c r="F24" s="27"/>
      <c r="G24" s="27"/>
      <c r="H24" s="27"/>
      <c r="I24" s="27"/>
      <c r="J24" s="27"/>
      <c r="K24" s="26"/>
      <c r="L24" s="28"/>
      <c r="M24" s="29"/>
    </row>
    <row r="25" spans="1:13" ht="16.5" customHeight="1">
      <c r="A25" s="25"/>
      <c r="B25" s="26"/>
      <c r="C25" s="26"/>
      <c r="D25" s="26"/>
      <c r="E25" s="27"/>
      <c r="F25" s="27"/>
      <c r="G25" s="27"/>
      <c r="H25" s="27"/>
      <c r="I25" s="27"/>
      <c r="J25" s="27"/>
      <c r="K25" s="26"/>
      <c r="L25" s="28"/>
      <c r="M25" s="29"/>
    </row>
    <row r="26" spans="1:13" ht="15.75" customHeight="1">
      <c r="A26" s="25"/>
      <c r="B26" s="26"/>
      <c r="C26" s="26"/>
      <c r="D26" s="26"/>
      <c r="E26" s="28"/>
      <c r="F26" s="31"/>
      <c r="G26" s="28"/>
      <c r="H26" s="28"/>
      <c r="I26" s="28"/>
      <c r="J26" s="28"/>
      <c r="K26" s="26"/>
      <c r="L26" s="28"/>
      <c r="M26" s="29"/>
    </row>
    <row r="27" spans="1:13" ht="15.75" customHeight="1">
      <c r="A27" s="25"/>
      <c r="B27" s="26"/>
      <c r="C27" s="26"/>
      <c r="D27" s="26"/>
      <c r="E27" s="28"/>
      <c r="F27" s="31"/>
      <c r="G27" s="28"/>
      <c r="H27" s="28"/>
      <c r="I27" s="28"/>
      <c r="J27" s="28"/>
      <c r="K27" s="26"/>
      <c r="L27" s="28"/>
      <c r="M27" s="29"/>
    </row>
    <row r="28" spans="1:13" ht="16.5" customHeight="1">
      <c r="A28" s="32"/>
      <c r="B28" s="33"/>
      <c r="C28" s="33"/>
      <c r="D28" s="33"/>
      <c r="E28" s="34"/>
      <c r="F28" s="35"/>
      <c r="G28" s="34"/>
      <c r="H28" s="34">
        <f>IF(E28=7,"b¶y tr¨m ",IF(E28=8,"t¸m tr¨m ",IF(E28=9,"chÝn tr¨m ",IF(E27&lt;&gt;0,"kh«ng tr¨m ",I28))))</f>
        <v>0</v>
      </c>
      <c r="I28" s="34"/>
      <c r="J28" s="34"/>
      <c r="K28" s="33"/>
      <c r="L28" s="34"/>
      <c r="M28" s="36"/>
    </row>
  </sheetData>
  <mergeCells count="16">
    <mergeCell ref="E22:J22"/>
    <mergeCell ref="G11:H11"/>
    <mergeCell ref="A9:M9"/>
    <mergeCell ref="I2:M2"/>
    <mergeCell ref="I14:M14"/>
    <mergeCell ref="A14:E14"/>
    <mergeCell ref="A3:F3"/>
    <mergeCell ref="E20:J20"/>
    <mergeCell ref="E21:J21"/>
    <mergeCell ref="A12:B12"/>
    <mergeCell ref="A2:F2"/>
    <mergeCell ref="C12:D12"/>
    <mergeCell ref="I3:M3"/>
    <mergeCell ref="I15:M15"/>
    <mergeCell ref="A8:M8"/>
    <mergeCell ref="A15:E15"/>
  </mergeCells>
  <printOptions horizontalCentered="1"/>
  <pageMargins left="0.70833333333333304" right="0.70833333333333304" top="0.86666666666666703" bottom="0.59027777777777801" header="0.31527777777777799" footer="0.511811023622047"/>
  <pageSetup paperSize="9" fitToHeight="0" orientation="landscape" horizontalDpi="300" verticalDpi="300"/>
  <headerFooter>
    <oddHeader>&amp;RBM.01_Du toan kinh phi nhiem vu KHCN</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W28"/>
  <sheetViews>
    <sheetView view="pageBreakPreview" zoomScaleNormal="100" workbookViewId="0">
      <selection activeCell="L7" sqref="L7"/>
    </sheetView>
  </sheetViews>
  <sheetFormatPr defaultColWidth="9.140625" defaultRowHeight="12.75"/>
  <cols>
    <col min="1" max="2" width="9.140625" style="1" customWidth="1"/>
    <col min="3" max="3" width="11.5703125" style="1" customWidth="1"/>
    <col min="4" max="4" width="9.140625" style="1" customWidth="1"/>
    <col min="5" max="5" width="10.85546875" style="1" customWidth="1"/>
    <col min="6" max="6" width="11" style="1" customWidth="1"/>
    <col min="7" max="7" width="9.140625" style="1" customWidth="1"/>
    <col min="8" max="8" width="12.140625" style="1" customWidth="1"/>
    <col min="9" max="11" width="9.140625" style="1" customWidth="1"/>
    <col min="12" max="12" width="21.140625" style="1" customWidth="1"/>
    <col min="13" max="13" width="18.7109375" style="1" customWidth="1"/>
    <col min="14" max="14" width="47.28515625" style="1" customWidth="1"/>
    <col min="15" max="257" width="9.140625" style="1" customWidth="1"/>
  </cols>
  <sheetData>
    <row r="1" spans="1:13" ht="13.5" customHeight="1"/>
    <row r="2" spans="1:13" ht="16.5" customHeight="1">
      <c r="A2" s="152" t="s">
        <v>1</v>
      </c>
      <c r="B2" s="153"/>
      <c r="C2" s="153"/>
      <c r="D2" s="153"/>
      <c r="E2" s="153"/>
      <c r="F2" s="153"/>
      <c r="G2" s="3"/>
      <c r="H2" s="3"/>
      <c r="I2" s="164" t="s">
        <v>2</v>
      </c>
      <c r="J2" s="153"/>
      <c r="K2" s="153"/>
      <c r="L2" s="153"/>
      <c r="M2" s="165"/>
    </row>
    <row r="3" spans="1:13" ht="16.5" customHeight="1">
      <c r="A3" s="166" t="s">
        <v>3</v>
      </c>
      <c r="B3" s="155"/>
      <c r="C3" s="155"/>
      <c r="D3" s="155"/>
      <c r="E3" s="155"/>
      <c r="F3" s="155"/>
      <c r="G3" s="4"/>
      <c r="H3" s="4"/>
      <c r="I3" s="156" t="s">
        <v>4</v>
      </c>
      <c r="J3" s="155"/>
      <c r="K3" s="155"/>
      <c r="L3" s="155"/>
      <c r="M3" s="157"/>
    </row>
    <row r="4" spans="1:13" ht="16.5" customHeight="1">
      <c r="A4" s="5"/>
      <c r="B4" s="6"/>
      <c r="C4" s="6"/>
      <c r="D4" s="6"/>
      <c r="E4" s="6"/>
      <c r="F4" s="4"/>
      <c r="G4" s="4"/>
      <c r="H4" s="4"/>
      <c r="I4" s="4"/>
      <c r="J4" s="6"/>
      <c r="K4" s="7"/>
      <c r="L4" s="7"/>
      <c r="M4" s="8"/>
    </row>
    <row r="5" spans="1:13" ht="15.75" customHeight="1">
      <c r="A5" s="5"/>
      <c r="B5" s="4"/>
      <c r="C5" s="4"/>
      <c r="D5" s="4"/>
      <c r="E5" s="4"/>
      <c r="F5" s="4"/>
      <c r="G5" s="4"/>
      <c r="H5" s="4"/>
      <c r="I5" s="4"/>
      <c r="J5" s="4"/>
      <c r="K5" s="4"/>
      <c r="L5" s="4"/>
      <c r="M5" s="9"/>
    </row>
    <row r="6" spans="1:13" ht="15.75" customHeight="1">
      <c r="A6" s="5"/>
      <c r="B6" s="4"/>
      <c r="C6" s="4"/>
      <c r="D6" s="4"/>
      <c r="E6" s="4"/>
      <c r="F6" s="4"/>
      <c r="G6" s="4"/>
      <c r="H6" s="4"/>
      <c r="I6" s="4"/>
      <c r="J6" s="4"/>
      <c r="K6" s="4"/>
      <c r="L6" s="4"/>
      <c r="M6" s="9"/>
    </row>
    <row r="7" spans="1:13" ht="15.75" customHeight="1">
      <c r="A7" s="5"/>
      <c r="B7" s="4"/>
      <c r="C7" s="4"/>
      <c r="D7" s="4"/>
      <c r="E7" s="4"/>
      <c r="F7" s="4"/>
      <c r="G7" s="4"/>
      <c r="H7" s="4"/>
      <c r="I7" s="4"/>
      <c r="J7" s="4"/>
      <c r="K7" s="4"/>
      <c r="L7" s="4"/>
      <c r="M7" s="9"/>
    </row>
    <row r="8" spans="1:13" ht="87" customHeight="1">
      <c r="A8" s="159" t="s">
        <v>5</v>
      </c>
      <c r="B8" s="155"/>
      <c r="C8" s="155"/>
      <c r="D8" s="155"/>
      <c r="E8" s="155"/>
      <c r="F8" s="155"/>
      <c r="G8" s="155"/>
      <c r="H8" s="155"/>
      <c r="I8" s="155"/>
      <c r="J8" s="155"/>
      <c r="K8" s="155"/>
      <c r="L8" s="155"/>
      <c r="M8" s="157"/>
    </row>
    <row r="9" spans="1:13" ht="18.75" customHeight="1">
      <c r="A9" s="163" t="str">
        <f>"Nhiệm vụ:"&amp;'Tong hop'!D6</f>
        <v>Nhiệm vụ:Nghiên cứu làm chủ thiết bị Băng tần 5G BBU / gNodeB</v>
      </c>
      <c r="B9" s="155"/>
      <c r="C9" s="155"/>
      <c r="D9" s="155"/>
      <c r="E9" s="155"/>
      <c r="F9" s="155"/>
      <c r="G9" s="155"/>
      <c r="H9" s="155"/>
      <c r="I9" s="155"/>
      <c r="J9" s="155"/>
      <c r="K9" s="155"/>
      <c r="L9" s="155"/>
      <c r="M9" s="157"/>
    </row>
    <row r="10" spans="1:13" ht="23.25" customHeight="1">
      <c r="A10" s="5"/>
      <c r="B10" s="4"/>
      <c r="C10" s="4"/>
      <c r="D10" s="4"/>
      <c r="E10" s="4"/>
      <c r="F10" s="4"/>
      <c r="G10" s="10"/>
      <c r="H10" s="11"/>
      <c r="I10" s="4"/>
      <c r="J10" s="4"/>
      <c r="K10" s="4"/>
      <c r="L10" s="4"/>
      <c r="M10" s="9"/>
    </row>
    <row r="11" spans="1:13" s="1" customFormat="1" ht="15.75" customHeight="1">
      <c r="A11" s="5"/>
      <c r="B11" s="4"/>
      <c r="C11" s="4"/>
      <c r="D11" s="4"/>
      <c r="E11" s="12" t="s">
        <v>6</v>
      </c>
      <c r="F11" s="13"/>
      <c r="G11" s="162">
        <f>'Tong hop'!H29</f>
        <v>15000000</v>
      </c>
      <c r="H11" s="155"/>
      <c r="I11" s="14" t="s">
        <v>7</v>
      </c>
      <c r="K11" s="4"/>
      <c r="L11" s="4"/>
      <c r="M11" s="9"/>
    </row>
    <row r="12" spans="1:13" s="1" customFormat="1" ht="16.149999999999999" customHeight="1">
      <c r="A12" s="168"/>
      <c r="B12" s="155"/>
      <c r="C12" s="154" t="s">
        <v>8</v>
      </c>
      <c r="D12" s="155"/>
      <c r="E12" s="15">
        <f>'Tong hop'!A31:I31</f>
        <v>0</v>
      </c>
      <c r="F12" s="15"/>
      <c r="G12" s="15"/>
      <c r="H12" s="15"/>
      <c r="I12" s="15"/>
      <c r="J12" s="15"/>
      <c r="K12" s="15"/>
      <c r="L12" s="15"/>
      <c r="M12" s="16"/>
    </row>
    <row r="13" spans="1:13" ht="14.25" customHeight="1">
      <c r="A13" s="5"/>
      <c r="B13" s="4"/>
      <c r="C13" s="4"/>
      <c r="D13" s="4"/>
      <c r="E13" s="4"/>
      <c r="F13" s="17"/>
      <c r="G13" s="18"/>
      <c r="H13" s="18"/>
      <c r="I13" s="4"/>
      <c r="J13" s="14"/>
      <c r="K13" s="4"/>
      <c r="L13" s="4"/>
      <c r="M13" s="9"/>
    </row>
    <row r="14" spans="1:13" ht="16.5" customHeight="1">
      <c r="A14" s="166" t="s">
        <v>9</v>
      </c>
      <c r="B14" s="155"/>
      <c r="C14" s="155"/>
      <c r="D14" s="155"/>
      <c r="E14" s="155"/>
      <c r="F14" s="19"/>
      <c r="G14" s="19"/>
      <c r="H14" s="19"/>
      <c r="I14" s="156" t="s">
        <v>3</v>
      </c>
      <c r="J14" s="155"/>
      <c r="K14" s="155"/>
      <c r="L14" s="155"/>
      <c r="M14" s="157"/>
    </row>
    <row r="15" spans="1:13" ht="15" customHeight="1">
      <c r="A15" s="160" t="s">
        <v>10</v>
      </c>
      <c r="B15" s="155"/>
      <c r="C15" s="155"/>
      <c r="D15" s="155"/>
      <c r="E15" s="155"/>
      <c r="F15" s="21"/>
      <c r="G15" s="21"/>
      <c r="H15" s="21"/>
      <c r="I15" s="158" t="s">
        <v>11</v>
      </c>
      <c r="J15" s="155"/>
      <c r="K15" s="155"/>
      <c r="L15" s="155"/>
      <c r="M15" s="157"/>
    </row>
    <row r="16" spans="1:13" ht="15" customHeight="1">
      <c r="A16" s="22"/>
      <c r="B16" s="23"/>
      <c r="C16" s="23"/>
      <c r="D16" s="23"/>
      <c r="E16" s="23"/>
      <c r="F16" s="23"/>
      <c r="G16" s="23"/>
      <c r="H16" s="23"/>
      <c r="I16" s="23"/>
      <c r="J16" s="23"/>
      <c r="K16" s="23"/>
      <c r="L16" s="23"/>
      <c r="M16" s="24"/>
    </row>
    <row r="17" spans="1:13" ht="15" customHeight="1">
      <c r="A17" s="22"/>
      <c r="B17" s="23"/>
      <c r="C17" s="23"/>
      <c r="D17" s="23"/>
      <c r="E17" s="23"/>
      <c r="F17" s="23"/>
      <c r="G17" s="23"/>
      <c r="H17" s="23"/>
      <c r="I17" s="23"/>
      <c r="J17" s="23"/>
      <c r="K17" s="23"/>
      <c r="L17" s="23"/>
      <c r="M17" s="24"/>
    </row>
    <row r="18" spans="1:13" ht="15" customHeight="1">
      <c r="A18" s="22"/>
      <c r="B18" s="23"/>
      <c r="C18" s="23"/>
      <c r="D18" s="23"/>
      <c r="E18" s="23"/>
      <c r="F18" s="23"/>
      <c r="G18" s="23"/>
      <c r="H18" s="23"/>
      <c r="I18" s="23"/>
      <c r="J18" s="23"/>
      <c r="K18" s="23"/>
      <c r="L18" s="23"/>
      <c r="M18" s="24"/>
    </row>
    <row r="19" spans="1:13" ht="15.75" customHeight="1">
      <c r="A19" s="5"/>
      <c r="B19" s="4"/>
      <c r="C19" s="4"/>
      <c r="D19" s="4"/>
      <c r="E19" s="4"/>
      <c r="F19" s="4"/>
      <c r="G19" s="4"/>
      <c r="H19" s="4"/>
      <c r="I19" s="4"/>
      <c r="J19" s="4"/>
      <c r="K19" s="4"/>
      <c r="L19" s="4"/>
      <c r="M19" s="9"/>
    </row>
    <row r="20" spans="1:13" ht="16.5" customHeight="1">
      <c r="A20" s="25"/>
      <c r="B20" s="26"/>
      <c r="C20" s="26"/>
      <c r="D20" s="26"/>
      <c r="E20" s="161"/>
      <c r="F20" s="155"/>
      <c r="G20" s="155"/>
      <c r="H20" s="155"/>
      <c r="I20" s="155"/>
      <c r="J20" s="155"/>
      <c r="K20" s="26"/>
      <c r="L20" s="28"/>
      <c r="M20" s="29"/>
    </row>
    <row r="21" spans="1:13" ht="16.5" customHeight="1">
      <c r="A21" s="25"/>
      <c r="B21" s="26"/>
      <c r="C21" s="26"/>
      <c r="D21" s="26"/>
      <c r="E21" s="167"/>
      <c r="F21" s="155"/>
      <c r="G21" s="155"/>
      <c r="H21" s="155"/>
      <c r="I21" s="155"/>
      <c r="J21" s="155"/>
      <c r="K21" s="26"/>
      <c r="L21" s="28"/>
      <c r="M21" s="29"/>
    </row>
    <row r="22" spans="1:13" ht="16.5" customHeight="1">
      <c r="A22" s="25"/>
      <c r="B22" s="26"/>
      <c r="C22" s="26"/>
      <c r="D22" s="26"/>
      <c r="E22" s="161"/>
      <c r="F22" s="155"/>
      <c r="G22" s="155"/>
      <c r="H22" s="155"/>
      <c r="I22" s="155"/>
      <c r="J22" s="155"/>
      <c r="K22" s="26"/>
      <c r="L22" s="28"/>
      <c r="M22" s="29"/>
    </row>
    <row r="23" spans="1:13" ht="16.5" customHeight="1">
      <c r="A23" s="25"/>
      <c r="B23" s="26"/>
      <c r="C23" s="26"/>
      <c r="D23" s="26"/>
      <c r="E23" s="27"/>
      <c r="F23" s="27"/>
      <c r="G23" s="27"/>
      <c r="H23" s="27"/>
      <c r="I23" s="27"/>
      <c r="J23" s="27"/>
      <c r="K23" s="26"/>
      <c r="L23" s="28"/>
      <c r="M23" s="29"/>
    </row>
    <row r="24" spans="1:13" ht="16.5" customHeight="1">
      <c r="A24" s="25"/>
      <c r="B24" s="26"/>
      <c r="C24" s="26"/>
      <c r="D24" s="26"/>
      <c r="E24" s="27"/>
      <c r="F24" s="27"/>
      <c r="G24" s="27"/>
      <c r="H24" s="27"/>
      <c r="I24" s="27"/>
      <c r="J24" s="27"/>
      <c r="K24" s="26"/>
      <c r="L24" s="28"/>
      <c r="M24" s="29"/>
    </row>
    <row r="25" spans="1:13" ht="16.5" customHeight="1">
      <c r="A25" s="25"/>
      <c r="B25" s="26"/>
      <c r="C25" s="26"/>
      <c r="D25" s="26"/>
      <c r="E25" s="27"/>
      <c r="F25" s="27"/>
      <c r="G25" s="27"/>
      <c r="H25" s="27"/>
      <c r="I25" s="27"/>
      <c r="J25" s="27"/>
      <c r="K25" s="26"/>
      <c r="L25" s="28"/>
      <c r="M25" s="29"/>
    </row>
    <row r="26" spans="1:13" ht="15.75" customHeight="1">
      <c r="A26" s="25"/>
      <c r="B26" s="26"/>
      <c r="C26" s="26"/>
      <c r="D26" s="26"/>
      <c r="E26" s="28"/>
      <c r="F26" s="31"/>
      <c r="G26" s="28"/>
      <c r="H26" s="28"/>
      <c r="I26" s="28"/>
      <c r="J26" s="28"/>
      <c r="K26" s="26"/>
      <c r="L26" s="28"/>
      <c r="M26" s="29"/>
    </row>
    <row r="27" spans="1:13" ht="15.75" customHeight="1">
      <c r="A27" s="25"/>
      <c r="B27" s="26"/>
      <c r="C27" s="26"/>
      <c r="D27" s="26"/>
      <c r="E27" s="28"/>
      <c r="F27" s="31"/>
      <c r="G27" s="28"/>
      <c r="H27" s="28"/>
      <c r="I27" s="28"/>
      <c r="J27" s="28"/>
      <c r="K27" s="26"/>
      <c r="L27" s="28"/>
      <c r="M27" s="29"/>
    </row>
    <row r="28" spans="1:13" ht="16.5" customHeight="1">
      <c r="A28" s="32"/>
      <c r="B28" s="33"/>
      <c r="C28" s="33"/>
      <c r="D28" s="33"/>
      <c r="E28" s="34"/>
      <c r="F28" s="35"/>
      <c r="G28" s="34"/>
      <c r="H28" s="34">
        <f>IF(E28=7,"b¶y tr¨m ",IF(E28=8,"t¸m tr¨m ",IF(E28=9,"chÝn tr¨m ",IF(E27&lt;&gt;0,"kh«ng tr¨m ",I28))))</f>
        <v>0</v>
      </c>
      <c r="I28" s="34"/>
      <c r="J28" s="34"/>
      <c r="K28" s="33"/>
      <c r="L28" s="34"/>
      <c r="M28" s="36"/>
    </row>
  </sheetData>
  <mergeCells count="16">
    <mergeCell ref="E22:J22"/>
    <mergeCell ref="G11:H11"/>
    <mergeCell ref="A9:M9"/>
    <mergeCell ref="I2:M2"/>
    <mergeCell ref="I14:M14"/>
    <mergeCell ref="A14:E14"/>
    <mergeCell ref="A3:F3"/>
    <mergeCell ref="E20:J20"/>
    <mergeCell ref="E21:J21"/>
    <mergeCell ref="A12:B12"/>
    <mergeCell ref="A2:F2"/>
    <mergeCell ref="C12:D12"/>
    <mergeCell ref="I3:M3"/>
    <mergeCell ref="I15:M15"/>
    <mergeCell ref="A8:M8"/>
    <mergeCell ref="A15:E15"/>
  </mergeCells>
  <printOptions horizontalCentered="1"/>
  <pageMargins left="0.70833333333333304" right="0.70833333333333304" top="0.86666666666666703" bottom="0.59027777777777801" header="0.31527777777777799" footer="0.511811023622047"/>
  <pageSetup paperSize="9" scale="86" fitToHeight="0" orientation="landscape" horizontalDpi="300" verticalDpi="300" r:id="rId1"/>
  <headerFooter>
    <oddHeader>&amp;RBM.01_Du toan kinh phi nhiem vu KHCN</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9"/>
  <sheetViews>
    <sheetView topLeftCell="A7" zoomScaleNormal="100" workbookViewId="0">
      <selection activeCell="C17" sqref="B5:O19"/>
    </sheetView>
  </sheetViews>
  <sheetFormatPr defaultColWidth="9" defaultRowHeight="12.75"/>
  <cols>
    <col min="1" max="2" width="3.28515625" style="37" customWidth="1"/>
    <col min="3" max="3" width="14.7109375" style="37" customWidth="1"/>
    <col min="4" max="13" width="16.7109375" style="37" customWidth="1"/>
    <col min="14" max="14" width="20.140625" style="37" customWidth="1"/>
    <col min="15" max="15" width="10" style="37" customWidth="1"/>
  </cols>
  <sheetData>
    <row r="1" spans="1:15" ht="10.5" customHeight="1">
      <c r="A1" s="38"/>
      <c r="B1" s="39"/>
      <c r="C1" s="39"/>
      <c r="D1" s="39"/>
      <c r="E1" s="39"/>
      <c r="F1" s="39"/>
      <c r="G1" s="39"/>
      <c r="H1" s="39"/>
      <c r="I1" s="39"/>
      <c r="J1" s="39"/>
      <c r="K1" s="39"/>
      <c r="L1" s="39"/>
      <c r="M1" s="39"/>
      <c r="N1" s="39"/>
      <c r="O1" s="40"/>
    </row>
    <row r="2" spans="1:15" ht="16.5" customHeight="1">
      <c r="A2" s="41"/>
      <c r="C2" s="173" t="s">
        <v>1</v>
      </c>
      <c r="D2" s="169"/>
      <c r="E2" s="169"/>
      <c r="F2" s="169"/>
      <c r="G2" s="169"/>
      <c r="H2" s="169"/>
      <c r="I2" s="4"/>
      <c r="J2" s="4"/>
      <c r="K2" s="156" t="s">
        <v>2</v>
      </c>
      <c r="L2" s="169"/>
      <c r="M2" s="169"/>
      <c r="N2" s="169"/>
      <c r="O2" s="157"/>
    </row>
    <row r="3" spans="1:15" ht="16.5" customHeight="1">
      <c r="A3" s="41"/>
      <c r="C3" s="167" t="s">
        <v>12</v>
      </c>
      <c r="D3" s="169"/>
      <c r="E3" s="169"/>
      <c r="F3" s="169"/>
      <c r="G3" s="169"/>
      <c r="H3" s="169"/>
      <c r="I3" s="4"/>
      <c r="J3" s="4"/>
      <c r="K3" s="156" t="s">
        <v>4</v>
      </c>
      <c r="L3" s="169"/>
      <c r="M3" s="169"/>
      <c r="N3" s="169"/>
      <c r="O3" s="157"/>
    </row>
    <row r="4" spans="1:15" ht="16.5" customHeight="1">
      <c r="A4" s="41"/>
      <c r="C4" s="137" t="s">
        <v>13</v>
      </c>
      <c r="D4" s="6"/>
      <c r="E4" s="6"/>
      <c r="F4" s="6"/>
      <c r="G4" s="6"/>
      <c r="H4" s="4"/>
      <c r="I4" s="4"/>
      <c r="J4" s="4"/>
      <c r="K4" s="4"/>
      <c r="L4" s="6"/>
      <c r="M4" s="7"/>
      <c r="N4" s="7"/>
      <c r="O4" s="8"/>
    </row>
    <row r="5" spans="1:15" ht="26.25" customHeight="1">
      <c r="A5" s="41"/>
      <c r="C5" s="176" t="s">
        <v>14</v>
      </c>
      <c r="D5" s="169"/>
      <c r="E5" s="169"/>
      <c r="F5" s="169"/>
      <c r="G5" s="169"/>
      <c r="H5" s="169"/>
      <c r="I5" s="169"/>
      <c r="J5" s="169"/>
      <c r="K5" s="169"/>
      <c r="L5" s="169"/>
      <c r="M5" s="169"/>
      <c r="N5" s="169"/>
      <c r="O5" s="157"/>
    </row>
    <row r="6" spans="1:15" ht="18.75" customHeight="1">
      <c r="A6" s="41"/>
      <c r="C6" s="175" t="s">
        <v>15</v>
      </c>
      <c r="D6" s="169"/>
      <c r="E6" s="169"/>
      <c r="F6" s="169"/>
      <c r="G6" s="169"/>
      <c r="H6" s="169"/>
      <c r="I6" s="169"/>
      <c r="J6" s="169"/>
      <c r="K6" s="169"/>
      <c r="L6" s="169"/>
      <c r="M6" s="169"/>
      <c r="N6" s="169"/>
      <c r="O6" s="157"/>
    </row>
    <row r="7" spans="1:15" ht="77.25" customHeight="1">
      <c r="A7" s="41"/>
      <c r="B7" s="170" t="s">
        <v>16</v>
      </c>
      <c r="C7" s="169"/>
      <c r="D7" s="169"/>
      <c r="E7" s="169"/>
      <c r="F7" s="169"/>
      <c r="G7" s="169"/>
      <c r="H7" s="169"/>
      <c r="I7" s="169"/>
      <c r="J7" s="169"/>
      <c r="K7" s="169"/>
      <c r="L7" s="169"/>
      <c r="M7" s="169"/>
      <c r="N7" s="169"/>
      <c r="O7" s="157"/>
    </row>
    <row r="8" spans="1:15" ht="15.75" customHeight="1">
      <c r="A8" s="41"/>
      <c r="B8" s="42" t="s">
        <v>17</v>
      </c>
      <c r="C8" s="172" t="s">
        <v>18</v>
      </c>
      <c r="D8" s="169"/>
      <c r="E8" s="169"/>
      <c r="F8" s="43"/>
      <c r="G8" s="43"/>
      <c r="H8" s="43"/>
      <c r="I8" s="43"/>
      <c r="J8" s="43"/>
      <c r="K8" s="43"/>
      <c r="L8" s="43"/>
      <c r="M8" s="43"/>
      <c r="N8" s="43"/>
      <c r="O8" s="16"/>
    </row>
    <row r="9" spans="1:15" ht="105.75" customHeight="1">
      <c r="A9" s="41"/>
      <c r="B9" s="44"/>
      <c r="C9" s="171" t="s">
        <v>19</v>
      </c>
      <c r="D9" s="169"/>
      <c r="E9" s="169"/>
      <c r="F9" s="169"/>
      <c r="G9" s="169"/>
      <c r="H9" s="169"/>
      <c r="I9" s="169"/>
      <c r="J9" s="169"/>
      <c r="K9" s="169"/>
      <c r="L9" s="169"/>
      <c r="M9" s="169"/>
      <c r="N9" s="169"/>
      <c r="O9" s="157"/>
    </row>
    <row r="10" spans="1:15" ht="16.5" customHeight="1">
      <c r="A10" s="41"/>
      <c r="B10" s="42" t="s">
        <v>20</v>
      </c>
      <c r="C10" s="172" t="s">
        <v>21</v>
      </c>
      <c r="D10" s="169"/>
      <c r="E10" s="169"/>
      <c r="F10" s="43"/>
      <c r="G10" s="43"/>
      <c r="H10" s="43"/>
      <c r="I10" s="43"/>
      <c r="J10" s="43"/>
      <c r="K10" s="43"/>
      <c r="L10" s="43"/>
      <c r="M10" s="43"/>
      <c r="N10" s="43"/>
      <c r="O10" s="20"/>
    </row>
    <row r="11" spans="1:15" ht="45.75" customHeight="1">
      <c r="A11" s="41"/>
      <c r="B11" s="45"/>
      <c r="C11" s="174" t="s">
        <v>22</v>
      </c>
      <c r="D11" s="169"/>
      <c r="E11" s="169"/>
      <c r="F11" s="169"/>
      <c r="G11" s="169"/>
      <c r="H11" s="169"/>
      <c r="I11" s="169"/>
      <c r="J11" s="169"/>
      <c r="K11" s="169"/>
      <c r="L11" s="169"/>
      <c r="M11" s="169"/>
      <c r="N11" s="169"/>
      <c r="O11" s="16"/>
    </row>
    <row r="12" spans="1:15" ht="15.75" customHeight="1">
      <c r="A12" s="41"/>
      <c r="B12" s="42" t="s">
        <v>23</v>
      </c>
      <c r="C12" s="172" t="s">
        <v>24</v>
      </c>
      <c r="D12" s="169"/>
      <c r="E12" s="169"/>
      <c r="F12" s="43"/>
      <c r="G12" s="43"/>
      <c r="H12" s="43"/>
      <c r="I12" s="43"/>
      <c r="J12" s="43"/>
      <c r="K12" s="43"/>
      <c r="L12" s="43"/>
      <c r="M12" s="43"/>
      <c r="N12" s="43"/>
      <c r="O12" s="24"/>
    </row>
    <row r="13" spans="1:15" ht="61.5" customHeight="1">
      <c r="A13" s="41"/>
      <c r="B13" s="45"/>
      <c r="C13" s="174" t="s">
        <v>25</v>
      </c>
      <c r="D13" s="169"/>
      <c r="E13" s="169"/>
      <c r="F13" s="169"/>
      <c r="G13" s="169"/>
      <c r="H13" s="169"/>
      <c r="I13" s="169"/>
      <c r="J13" s="169"/>
      <c r="K13" s="169"/>
      <c r="L13" s="169"/>
      <c r="M13" s="169"/>
      <c r="N13" s="169"/>
      <c r="O13" s="16"/>
    </row>
    <row r="14" spans="1:15" ht="15.75" customHeight="1">
      <c r="A14" s="41"/>
      <c r="B14" s="42" t="s">
        <v>26</v>
      </c>
      <c r="C14" s="172" t="s">
        <v>27</v>
      </c>
      <c r="D14" s="169"/>
      <c r="E14" s="169"/>
      <c r="F14" s="43"/>
      <c r="G14" s="43"/>
      <c r="H14" s="43"/>
      <c r="I14" s="43"/>
      <c r="J14" s="43"/>
      <c r="K14" s="43"/>
      <c r="L14" s="43"/>
      <c r="M14" s="43"/>
      <c r="N14" s="43"/>
      <c r="O14" s="24"/>
    </row>
    <row r="15" spans="1:15" ht="54" customHeight="1">
      <c r="A15" s="41"/>
      <c r="B15" s="45"/>
      <c r="C15" s="174" t="s">
        <v>22</v>
      </c>
      <c r="D15" s="169"/>
      <c r="E15" s="169"/>
      <c r="F15" s="169"/>
      <c r="G15" s="169"/>
      <c r="H15" s="169"/>
      <c r="I15" s="169"/>
      <c r="J15" s="169"/>
      <c r="K15" s="169"/>
      <c r="L15" s="169"/>
      <c r="M15" s="169"/>
      <c r="N15" s="169"/>
      <c r="O15" s="16"/>
    </row>
    <row r="16" spans="1:15" ht="15.75" customHeight="1">
      <c r="A16" s="41"/>
      <c r="B16" s="42" t="s">
        <v>28</v>
      </c>
      <c r="C16" s="172" t="s">
        <v>29</v>
      </c>
      <c r="D16" s="169"/>
      <c r="E16" s="169"/>
      <c r="F16" s="169"/>
      <c r="G16" s="169"/>
      <c r="H16" s="43"/>
      <c r="I16" s="43"/>
      <c r="J16" s="43"/>
      <c r="K16" s="43"/>
      <c r="L16" s="43"/>
      <c r="M16" s="43"/>
      <c r="N16" s="43"/>
      <c r="O16" s="24"/>
    </row>
    <row r="17" spans="1:15" ht="54.75" customHeight="1">
      <c r="A17" s="41"/>
      <c r="B17" s="45"/>
      <c r="C17" s="171" t="s">
        <v>22</v>
      </c>
      <c r="D17" s="169"/>
      <c r="E17" s="169"/>
      <c r="F17" s="169"/>
      <c r="G17" s="169"/>
      <c r="H17" s="169"/>
      <c r="I17" s="169"/>
      <c r="J17" s="169"/>
      <c r="K17" s="169"/>
      <c r="L17" s="169"/>
      <c r="M17" s="169"/>
      <c r="N17" s="169"/>
      <c r="O17" s="157"/>
    </row>
    <row r="18" spans="1:15" ht="15.75" customHeight="1">
      <c r="A18" s="41"/>
      <c r="B18" s="42" t="s">
        <v>30</v>
      </c>
      <c r="C18" s="172" t="s">
        <v>31</v>
      </c>
      <c r="D18" s="169"/>
      <c r="E18" s="169"/>
      <c r="F18" s="43"/>
      <c r="G18" s="43"/>
      <c r="H18" s="43"/>
      <c r="I18" s="43"/>
      <c r="J18" s="43"/>
      <c r="K18" s="43"/>
      <c r="L18" s="43"/>
      <c r="M18" s="43"/>
      <c r="N18" s="43"/>
      <c r="O18" s="24"/>
    </row>
    <row r="19" spans="1:15" ht="31.5" customHeight="1">
      <c r="A19" s="46"/>
      <c r="B19" s="47"/>
      <c r="C19" s="177" t="s">
        <v>32</v>
      </c>
      <c r="D19" s="178"/>
      <c r="E19" s="178"/>
      <c r="F19" s="178"/>
      <c r="G19" s="178"/>
      <c r="H19" s="178"/>
      <c r="I19" s="178"/>
      <c r="J19" s="178"/>
      <c r="K19" s="178"/>
      <c r="L19" s="178"/>
      <c r="M19" s="178"/>
      <c r="N19" s="178"/>
      <c r="O19" s="48"/>
    </row>
  </sheetData>
  <mergeCells count="19">
    <mergeCell ref="C19:N19"/>
    <mergeCell ref="K2:O2"/>
    <mergeCell ref="C18:E18"/>
    <mergeCell ref="C13:N13"/>
    <mergeCell ref="C3:H3"/>
    <mergeCell ref="C14:E14"/>
    <mergeCell ref="C9:O9"/>
    <mergeCell ref="C15:N15"/>
    <mergeCell ref="C10:E10"/>
    <mergeCell ref="K3:O3"/>
    <mergeCell ref="B7:O7"/>
    <mergeCell ref="C17:O17"/>
    <mergeCell ref="C12:E12"/>
    <mergeCell ref="C2:H2"/>
    <mergeCell ref="C11:N11"/>
    <mergeCell ref="C16:G16"/>
    <mergeCell ref="C8:E8"/>
    <mergeCell ref="C6:O6"/>
    <mergeCell ref="C5:O5"/>
  </mergeCells>
  <pageMargins left="0.70833333333333304" right="0.70833333333333304" top="0.74791666666666701" bottom="0.74791666666666701" header="0.511811023622047" footer="0.511811023622047"/>
  <pageSetup paperSize="9" fitToHeight="1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CCFF"/>
    <pageSetUpPr fitToPage="1"/>
  </sheetPr>
  <dimension ref="A1:IW41"/>
  <sheetViews>
    <sheetView view="pageBreakPreview" topLeftCell="A10" zoomScale="110" zoomScaleNormal="85" zoomScalePageLayoutView="110" workbookViewId="0">
      <selection activeCell="A31" sqref="A31:I31"/>
    </sheetView>
  </sheetViews>
  <sheetFormatPr defaultColWidth="9.140625" defaultRowHeight="12.75"/>
  <cols>
    <col min="1" max="1" width="8.7109375" style="49" customWidth="1"/>
    <col min="2" max="2" width="7.42578125" style="49" customWidth="1"/>
    <col min="3" max="3" width="20.5703125" style="2" customWidth="1"/>
    <col min="4" max="4" width="39.5703125" style="2" customWidth="1"/>
    <col min="5" max="5" width="12.85546875" style="2" customWidth="1"/>
    <col min="6" max="6" width="16.42578125" style="2" customWidth="1"/>
    <col min="7" max="7" width="15.7109375" style="2" customWidth="1"/>
    <col min="8" max="8" width="23" style="50" customWidth="1"/>
    <col min="9" max="9" width="12.28515625" style="2" customWidth="1"/>
    <col min="10" max="257" width="9.140625" style="2" customWidth="1"/>
  </cols>
  <sheetData>
    <row r="1" spans="1:9" ht="16.5" customHeight="1">
      <c r="H1" s="173"/>
      <c r="I1" s="183"/>
    </row>
    <row r="3" spans="1:9" s="52" customFormat="1" ht="23.25" customHeight="1">
      <c r="A3" s="185" t="s">
        <v>33</v>
      </c>
      <c r="B3" s="186"/>
      <c r="C3" s="186"/>
      <c r="D3" s="186"/>
      <c r="E3" s="186"/>
      <c r="F3" s="186"/>
      <c r="G3" s="186"/>
      <c r="H3" s="186"/>
      <c r="I3" s="186"/>
    </row>
    <row r="4" spans="1:9" s="52" customFormat="1" ht="17.25" customHeight="1">
      <c r="A4" s="185"/>
      <c r="B4" s="186"/>
      <c r="C4" s="186"/>
      <c r="D4" s="186"/>
      <c r="E4" s="186"/>
      <c r="F4" s="186"/>
      <c r="G4" s="186"/>
      <c r="H4" s="186"/>
      <c r="I4" s="186"/>
    </row>
    <row r="5" spans="1:9" s="52" customFormat="1" ht="16.149999999999999" customHeight="1">
      <c r="A5" s="53"/>
      <c r="B5" s="53"/>
      <c r="C5" s="53"/>
      <c r="D5" s="53"/>
      <c r="E5" s="53"/>
      <c r="F5" s="53"/>
      <c r="G5" s="53"/>
      <c r="H5" s="53"/>
      <c r="I5" s="53"/>
    </row>
    <row r="6" spans="1:9" s="52" customFormat="1" ht="18.75" customHeight="1">
      <c r="C6" s="54" t="s">
        <v>34</v>
      </c>
      <c r="D6" s="54" t="s">
        <v>35</v>
      </c>
      <c r="E6" s="54"/>
      <c r="F6" s="54"/>
      <c r="G6" s="54"/>
      <c r="H6" s="55"/>
    </row>
    <row r="7" spans="1:9" s="52" customFormat="1" ht="18.75" customHeight="1">
      <c r="C7" s="54" t="s">
        <v>36</v>
      </c>
      <c r="D7" s="56" t="s">
        <v>37</v>
      </c>
      <c r="E7" s="56"/>
      <c r="F7" s="56"/>
      <c r="G7" s="56"/>
      <c r="H7" s="55"/>
    </row>
    <row r="8" spans="1:9" s="52" customFormat="1" ht="18.75" customHeight="1">
      <c r="C8" s="57" t="s">
        <v>38</v>
      </c>
      <c r="D8" s="54" t="s">
        <v>39</v>
      </c>
      <c r="E8" s="54"/>
      <c r="F8" s="54"/>
      <c r="G8" s="54"/>
      <c r="H8" s="58"/>
    </row>
    <row r="9" spans="1:9" ht="18" customHeight="1">
      <c r="A9" s="59"/>
      <c r="B9" s="59"/>
      <c r="C9" s="52"/>
      <c r="D9" s="52"/>
      <c r="E9" s="52"/>
      <c r="F9" s="52"/>
      <c r="G9" s="52"/>
      <c r="H9" s="60" t="s">
        <v>40</v>
      </c>
    </row>
    <row r="10" spans="1:9" ht="49.5" customHeight="1">
      <c r="A10" s="61" t="s">
        <v>41</v>
      </c>
      <c r="B10" s="179" t="s">
        <v>42</v>
      </c>
      <c r="C10" s="180"/>
      <c r="D10" s="181"/>
      <c r="E10" s="61" t="s">
        <v>43</v>
      </c>
      <c r="F10" s="62" t="s">
        <v>44</v>
      </c>
      <c r="G10" s="61" t="s">
        <v>45</v>
      </c>
      <c r="H10" s="62" t="s">
        <v>46</v>
      </c>
      <c r="I10" s="63" t="s">
        <v>47</v>
      </c>
    </row>
    <row r="11" spans="1:9" ht="16.5" customHeight="1">
      <c r="A11" s="61" t="s">
        <v>48</v>
      </c>
      <c r="B11" s="179" t="s">
        <v>49</v>
      </c>
      <c r="C11" s="180"/>
      <c r="D11" s="181"/>
      <c r="E11" s="61" t="s">
        <v>50</v>
      </c>
      <c r="F11" s="62" t="s">
        <v>51</v>
      </c>
      <c r="G11" s="62" t="s">
        <v>52</v>
      </c>
      <c r="H11" s="62" t="s">
        <v>53</v>
      </c>
      <c r="I11" s="62" t="s">
        <v>54</v>
      </c>
    </row>
    <row r="12" spans="1:9" ht="19.899999999999999" customHeight="1">
      <c r="A12" s="64">
        <v>1</v>
      </c>
      <c r="B12" s="184" t="s">
        <v>55</v>
      </c>
      <c r="C12" s="180"/>
      <c r="D12" s="181"/>
      <c r="E12" s="65" t="s">
        <v>56</v>
      </c>
      <c r="F12" s="66">
        <f>'PL1'!G16</f>
        <v>4500000</v>
      </c>
      <c r="G12" s="66">
        <f>0</f>
        <v>0</v>
      </c>
      <c r="H12" s="66">
        <f t="shared" ref="H12:H28" si="0">F12+G12</f>
        <v>4500000</v>
      </c>
      <c r="I12" s="66">
        <f>IF(H29=0,0,ROUND(H12/H29*100,1))</f>
        <v>30</v>
      </c>
    </row>
    <row r="13" spans="1:9" ht="19.899999999999999" customHeight="1">
      <c r="A13" s="64">
        <v>2</v>
      </c>
      <c r="B13" s="184" t="s">
        <v>57</v>
      </c>
      <c r="C13" s="180"/>
      <c r="D13" s="181"/>
      <c r="E13" s="65" t="s">
        <v>58</v>
      </c>
      <c r="F13" s="66">
        <f>'PL2'!J17</f>
        <v>3000000</v>
      </c>
      <c r="G13" s="66">
        <f>0</f>
        <v>0</v>
      </c>
      <c r="H13" s="68">
        <f t="shared" si="0"/>
        <v>3000000</v>
      </c>
      <c r="I13" s="66">
        <f>IF(H29=0,0,ROUND(H13/H29*100,1))</f>
        <v>20</v>
      </c>
    </row>
    <row r="14" spans="1:9" ht="16.5" customHeight="1">
      <c r="A14" s="69" t="s">
        <v>59</v>
      </c>
      <c r="B14" s="182" t="s">
        <v>60</v>
      </c>
      <c r="C14" s="180"/>
      <c r="D14" s="181"/>
      <c r="E14" s="70"/>
      <c r="F14" s="66">
        <f>ROUND(F13*0.85,0)</f>
        <v>2550000</v>
      </c>
      <c r="G14" s="66">
        <f>0</f>
        <v>0</v>
      </c>
      <c r="H14" s="68">
        <f t="shared" si="0"/>
        <v>2550000</v>
      </c>
      <c r="I14" s="66">
        <f>IF(H29=0,0,ROUND(H14/H29*100,1))</f>
        <v>17</v>
      </c>
    </row>
    <row r="15" spans="1:9" ht="16.5" customHeight="1">
      <c r="A15" s="69" t="s">
        <v>61</v>
      </c>
      <c r="B15" s="182" t="s">
        <v>62</v>
      </c>
      <c r="C15" s="180"/>
      <c r="D15" s="181"/>
      <c r="E15" s="70"/>
      <c r="F15" s="66">
        <f>F13-F14</f>
        <v>450000</v>
      </c>
      <c r="G15" s="66">
        <f>0</f>
        <v>0</v>
      </c>
      <c r="H15" s="68">
        <f t="shared" si="0"/>
        <v>450000</v>
      </c>
      <c r="I15" s="66">
        <f>IF(H29=0,0,ROUND(H15/H29*100,1))</f>
        <v>3</v>
      </c>
    </row>
    <row r="16" spans="1:9" s="71" customFormat="1" ht="16.5" customHeight="1">
      <c r="A16" s="64">
        <v>3</v>
      </c>
      <c r="B16" s="193" t="s">
        <v>63</v>
      </c>
      <c r="C16" s="180"/>
      <c r="D16" s="181"/>
      <c r="E16" s="65" t="s">
        <v>64</v>
      </c>
      <c r="F16" s="66">
        <f>'PL3'!H21</f>
        <v>3750000</v>
      </c>
      <c r="G16" s="66">
        <f>0</f>
        <v>0</v>
      </c>
      <c r="H16" s="68">
        <f t="shared" si="0"/>
        <v>3750000</v>
      </c>
      <c r="I16" s="66">
        <f>IF(H29=0,0,ROUND(H16/H29*100,1))</f>
        <v>25</v>
      </c>
    </row>
    <row r="17" spans="1:9" ht="19.899999999999999" customHeight="1">
      <c r="A17" s="69" t="s">
        <v>65</v>
      </c>
      <c r="B17" s="182" t="s">
        <v>66</v>
      </c>
      <c r="C17" s="180"/>
      <c r="D17" s="181"/>
      <c r="E17" s="70"/>
      <c r="F17" s="66">
        <f>SUM('PL3'!H9:H13)</f>
        <v>1500000</v>
      </c>
      <c r="G17" s="66">
        <f>0</f>
        <v>0</v>
      </c>
      <c r="H17" s="68">
        <f t="shared" si="0"/>
        <v>1500000</v>
      </c>
      <c r="I17" s="66">
        <f>IF(H29=0,0,ROUND(H17/H29*100,1))</f>
        <v>10</v>
      </c>
    </row>
    <row r="18" spans="1:9" ht="16.5" customHeight="1">
      <c r="A18" s="69" t="s">
        <v>67</v>
      </c>
      <c r="B18" s="182" t="s">
        <v>68</v>
      </c>
      <c r="C18" s="180"/>
      <c r="D18" s="181"/>
      <c r="E18" s="70"/>
      <c r="F18" s="66">
        <f>SUM('PL3'!H16:H20)</f>
        <v>2250000</v>
      </c>
      <c r="G18" s="66">
        <f>0</f>
        <v>0</v>
      </c>
      <c r="H18" s="68">
        <f t="shared" si="0"/>
        <v>2250000</v>
      </c>
      <c r="I18" s="66">
        <f>IF(H29=0,0,ROUND(H18/H29*100,1))</f>
        <v>15</v>
      </c>
    </row>
    <row r="19" spans="1:9" ht="19.899999999999999" customHeight="1">
      <c r="A19" s="64">
        <v>4</v>
      </c>
      <c r="B19" s="184" t="s">
        <v>69</v>
      </c>
      <c r="C19" s="180"/>
      <c r="D19" s="181"/>
      <c r="E19" s="65" t="s">
        <v>70</v>
      </c>
      <c r="F19" s="66">
        <f>'PL4'!H14</f>
        <v>1500000</v>
      </c>
      <c r="G19" s="66">
        <f>0</f>
        <v>0</v>
      </c>
      <c r="H19" s="68">
        <f t="shared" si="0"/>
        <v>1500000</v>
      </c>
      <c r="I19" s="66">
        <f>IF(H29=0,0,ROUND(H19/H29*100,1))</f>
        <v>10</v>
      </c>
    </row>
    <row r="20" spans="1:9" s="72" customFormat="1" ht="38.450000000000003" customHeight="1">
      <c r="A20" s="69" t="s">
        <v>71</v>
      </c>
      <c r="B20" s="182" t="s">
        <v>72</v>
      </c>
      <c r="C20" s="180"/>
      <c r="D20" s="181"/>
      <c r="E20" s="70"/>
      <c r="F20" s="66">
        <f>ROUND(F19*0.2,0)</f>
        <v>300000</v>
      </c>
      <c r="G20" s="66">
        <f>0</f>
        <v>0</v>
      </c>
      <c r="H20" s="68">
        <f t="shared" si="0"/>
        <v>300000</v>
      </c>
      <c r="I20" s="66">
        <f>IF(H29=0,0,ROUND(H20/H29*100,1))</f>
        <v>2</v>
      </c>
    </row>
    <row r="21" spans="1:9" s="72" customFormat="1" ht="19.899999999999999" customHeight="1">
      <c r="A21" s="69" t="s">
        <v>73</v>
      </c>
      <c r="B21" s="182" t="s">
        <v>74</v>
      </c>
      <c r="C21" s="180"/>
      <c r="D21" s="181"/>
      <c r="E21" s="70"/>
      <c r="F21" s="66">
        <f>ROUND(F19*0.5,0)</f>
        <v>750000</v>
      </c>
      <c r="G21" s="66">
        <f>0</f>
        <v>0</v>
      </c>
      <c r="H21" s="68">
        <f t="shared" si="0"/>
        <v>750000</v>
      </c>
      <c r="I21" s="66">
        <f>IF(H29=0,0,ROUND(H21/H29*100,1))</f>
        <v>5</v>
      </c>
    </row>
    <row r="22" spans="1:9" s="72" customFormat="1" ht="16.5" customHeight="1">
      <c r="A22" s="69" t="s">
        <v>75</v>
      </c>
      <c r="B22" s="182" t="s">
        <v>76</v>
      </c>
      <c r="C22" s="180"/>
      <c r="D22" s="181"/>
      <c r="E22" s="70"/>
      <c r="F22" s="66">
        <f>ROUND(F19*0.25,0)</f>
        <v>375000</v>
      </c>
      <c r="G22" s="66">
        <f>0</f>
        <v>0</v>
      </c>
      <c r="H22" s="68">
        <f t="shared" si="0"/>
        <v>375000</v>
      </c>
      <c r="I22" s="66">
        <f>IF(H29=0,0,ROUND(H22/H29*100,1))</f>
        <v>2.5</v>
      </c>
    </row>
    <row r="23" spans="1:9" s="72" customFormat="1" ht="32.450000000000003" customHeight="1">
      <c r="A23" s="69" t="s">
        <v>77</v>
      </c>
      <c r="B23" s="182" t="s">
        <v>78</v>
      </c>
      <c r="C23" s="180"/>
      <c r="D23" s="181"/>
      <c r="E23" s="70"/>
      <c r="F23" s="66">
        <f>F19-F20-F21-F22</f>
        <v>75000</v>
      </c>
      <c r="G23" s="66">
        <f>0</f>
        <v>0</v>
      </c>
      <c r="H23" s="68">
        <f t="shared" si="0"/>
        <v>75000</v>
      </c>
      <c r="I23" s="66">
        <f>IF(H29=0,0,ROUND(H23/H29*100,1))</f>
        <v>0.5</v>
      </c>
    </row>
    <row r="24" spans="1:9" ht="19.5" customHeight="1">
      <c r="A24" s="64">
        <v>5</v>
      </c>
      <c r="B24" s="184" t="s">
        <v>79</v>
      </c>
      <c r="C24" s="180"/>
      <c r="D24" s="181"/>
      <c r="E24" s="65" t="s">
        <v>80</v>
      </c>
      <c r="F24" s="66">
        <f>'PL5'!H16</f>
        <v>750000</v>
      </c>
      <c r="G24" s="66">
        <f>0</f>
        <v>0</v>
      </c>
      <c r="H24" s="68">
        <f t="shared" si="0"/>
        <v>750000</v>
      </c>
      <c r="I24" s="66">
        <f>IF(H29=0,0,ROUND(H24/H29*100,1))</f>
        <v>5</v>
      </c>
    </row>
    <row r="25" spans="1:9" ht="16.5" customHeight="1">
      <c r="A25" s="64">
        <v>6</v>
      </c>
      <c r="B25" s="184" t="s">
        <v>81</v>
      </c>
      <c r="C25" s="180"/>
      <c r="D25" s="181"/>
      <c r="E25" s="65" t="s">
        <v>82</v>
      </c>
      <c r="F25" s="66">
        <f>'PL6'!H14</f>
        <v>750000</v>
      </c>
      <c r="G25" s="66">
        <f>0</f>
        <v>0</v>
      </c>
      <c r="H25" s="66">
        <f t="shared" si="0"/>
        <v>750000</v>
      </c>
      <c r="I25" s="66">
        <f>IF(H29=0,0,ROUND(H25/H29*100,1))</f>
        <v>5</v>
      </c>
    </row>
    <row r="26" spans="1:9" ht="16.5" customHeight="1">
      <c r="A26" s="69" t="s">
        <v>83</v>
      </c>
      <c r="B26" s="182" t="s">
        <v>84</v>
      </c>
      <c r="C26" s="180"/>
      <c r="D26" s="181"/>
      <c r="E26" s="70"/>
      <c r="F26" s="66">
        <f>ROUND(F25*0.6,0)</f>
        <v>450000</v>
      </c>
      <c r="G26" s="66">
        <f>0</f>
        <v>0</v>
      </c>
      <c r="H26" s="68">
        <f t="shared" si="0"/>
        <v>450000</v>
      </c>
      <c r="I26" s="66">
        <f>IF(H29=0,0,ROUND(H26/H29*100,1))</f>
        <v>3</v>
      </c>
    </row>
    <row r="27" spans="1:9" ht="16.5" customHeight="1">
      <c r="A27" s="69" t="s">
        <v>85</v>
      </c>
      <c r="B27" s="182" t="s">
        <v>86</v>
      </c>
      <c r="C27" s="180"/>
      <c r="D27" s="181"/>
      <c r="E27" s="70"/>
      <c r="F27" s="66">
        <f>F25-F26</f>
        <v>300000</v>
      </c>
      <c r="G27" s="66">
        <f>0</f>
        <v>0</v>
      </c>
      <c r="H27" s="68">
        <f t="shared" si="0"/>
        <v>300000</v>
      </c>
      <c r="I27" s="66">
        <f>IF(H29=0,0,ROUND(H27/H29*100,1))</f>
        <v>2</v>
      </c>
    </row>
    <row r="28" spans="1:9" s="73" customFormat="1" ht="19.899999999999999" customHeight="1">
      <c r="A28" s="64">
        <v>7</v>
      </c>
      <c r="B28" s="184" t="s">
        <v>87</v>
      </c>
      <c r="C28" s="180"/>
      <c r="D28" s="181"/>
      <c r="E28" s="74"/>
      <c r="F28" s="66">
        <f>15000000-F12-F13-F16-F19-F24-F25</f>
        <v>750000</v>
      </c>
      <c r="G28" s="66">
        <f>0</f>
        <v>0</v>
      </c>
      <c r="H28" s="68">
        <f t="shared" si="0"/>
        <v>750000</v>
      </c>
      <c r="I28" s="66">
        <f>IF(H29=0,0,ROUND(H28/H29*100,1))</f>
        <v>5</v>
      </c>
    </row>
    <row r="29" spans="1:9" ht="19.899999999999999" customHeight="1">
      <c r="A29" s="74"/>
      <c r="B29" s="187" t="s">
        <v>88</v>
      </c>
      <c r="C29" s="180"/>
      <c r="D29" s="181"/>
      <c r="E29" s="75"/>
      <c r="F29" s="76">
        <f>F12+F13+F16+F19+F24+F25+F28</f>
        <v>15000000</v>
      </c>
      <c r="G29" s="76">
        <f>G12+G13+G16+G19+G24+G25+G28</f>
        <v>0</v>
      </c>
      <c r="H29" s="77">
        <f>H12+H13+H16+H19+H24+H25+H28</f>
        <v>15000000</v>
      </c>
      <c r="I29" s="78">
        <v>100</v>
      </c>
    </row>
    <row r="30" spans="1:9" ht="19.899999999999999" customHeight="1">
      <c r="A30" s="79"/>
      <c r="B30" s="80"/>
      <c r="C30" s="80"/>
      <c r="D30" s="80"/>
      <c r="E30" s="80"/>
      <c r="F30" s="80"/>
      <c r="G30" s="80"/>
      <c r="H30" s="81"/>
      <c r="I30" s="82"/>
    </row>
    <row r="31" spans="1:9" ht="19.899999999999999" customHeight="1">
      <c r="A31" s="192" t="s">
        <v>89</v>
      </c>
      <c r="B31" s="180"/>
      <c r="C31" s="180"/>
      <c r="D31" s="180"/>
      <c r="E31" s="180"/>
      <c r="F31" s="180"/>
      <c r="G31" s="180"/>
      <c r="H31" s="180"/>
      <c r="I31" s="180"/>
    </row>
    <row r="32" spans="1:9" s="2" customFormat="1" ht="19.899999999999999" customHeight="1">
      <c r="A32" s="83" t="s">
        <v>90</v>
      </c>
      <c r="B32" s="83"/>
      <c r="C32" s="84" t="s">
        <v>91</v>
      </c>
      <c r="D32" s="85">
        <f>H29</f>
        <v>15000000</v>
      </c>
      <c r="E32" s="83"/>
      <c r="F32" s="83"/>
      <c r="G32" s="83"/>
      <c r="H32" s="83"/>
      <c r="I32" s="83"/>
    </row>
    <row r="33" spans="1:9" s="2" customFormat="1" ht="19.7" customHeight="1">
      <c r="A33" s="27"/>
      <c r="B33" s="27"/>
      <c r="C33" s="84" t="s">
        <v>92</v>
      </c>
      <c r="D33" s="27"/>
      <c r="E33" s="27"/>
      <c r="F33" s="27"/>
      <c r="G33" s="27"/>
      <c r="H33" s="27"/>
      <c r="I33" s="27"/>
    </row>
    <row r="34" spans="1:9" s="2" customFormat="1" ht="13.5" customHeight="1">
      <c r="A34" s="27"/>
      <c r="B34" s="27"/>
      <c r="C34" s="84"/>
      <c r="D34" s="27"/>
      <c r="E34" s="27"/>
      <c r="F34" s="27"/>
      <c r="G34" s="27"/>
      <c r="H34" s="27"/>
      <c r="I34" s="27"/>
    </row>
    <row r="35" spans="1:9" s="86" customFormat="1" ht="19.899999999999999" customHeight="1">
      <c r="A35" s="188" t="s">
        <v>93</v>
      </c>
      <c r="B35" s="189"/>
      <c r="C35" s="189"/>
      <c r="D35" s="189"/>
      <c r="E35" s="189"/>
      <c r="F35" s="189"/>
      <c r="G35" s="189"/>
      <c r="H35" s="189"/>
      <c r="I35" s="189"/>
    </row>
    <row r="36" spans="1:9" s="2" customFormat="1" ht="19.899999999999999" customHeight="1">
      <c r="A36" s="188" t="s">
        <v>94</v>
      </c>
      <c r="B36" s="183"/>
      <c r="C36" s="183"/>
      <c r="D36" s="183"/>
      <c r="E36" s="183"/>
      <c r="F36" s="183"/>
      <c r="G36" s="183"/>
      <c r="H36" s="183"/>
      <c r="I36" s="183"/>
    </row>
    <row r="37" spans="1:9" ht="19.899999999999999" customHeight="1">
      <c r="A37" s="51"/>
      <c r="B37" s="51"/>
      <c r="C37" s="87"/>
      <c r="D37" s="190"/>
      <c r="E37" s="183"/>
      <c r="F37" s="183"/>
      <c r="G37" s="183"/>
      <c r="H37" s="191"/>
      <c r="I37" s="54"/>
    </row>
    <row r="38" spans="1:9" ht="19.899999999999999" customHeight="1">
      <c r="A38" s="51"/>
      <c r="B38" s="51"/>
      <c r="C38" s="54"/>
      <c r="D38" s="194"/>
      <c r="E38" s="183"/>
      <c r="F38" s="183"/>
      <c r="G38" s="183"/>
      <c r="H38" s="191"/>
      <c r="I38" s="54"/>
    </row>
    <row r="39" spans="1:9" ht="19.899999999999999" customHeight="1">
      <c r="A39" s="51"/>
      <c r="B39" s="51"/>
      <c r="C39" s="54"/>
      <c r="D39" s="190"/>
      <c r="E39" s="183"/>
      <c r="F39" s="183"/>
      <c r="G39" s="183"/>
      <c r="H39" s="191"/>
      <c r="I39" s="54"/>
    </row>
    <row r="40" spans="1:9" ht="19.899999999999999" customHeight="1">
      <c r="A40" s="51"/>
      <c r="B40" s="51"/>
      <c r="C40" s="54"/>
      <c r="D40" s="54"/>
      <c r="E40" s="54"/>
      <c r="F40" s="54"/>
      <c r="G40" s="54"/>
      <c r="H40" s="88"/>
      <c r="I40" s="54"/>
    </row>
    <row r="41" spans="1:9" ht="19.899999999999999" customHeight="1"/>
  </sheetData>
  <mergeCells count="29">
    <mergeCell ref="D37:H37"/>
    <mergeCell ref="A31:I31"/>
    <mergeCell ref="B25:D25"/>
    <mergeCell ref="B16:D16"/>
    <mergeCell ref="D39:H39"/>
    <mergeCell ref="B22:D22"/>
    <mergeCell ref="A36:I36"/>
    <mergeCell ref="B18:D18"/>
    <mergeCell ref="B27:D27"/>
    <mergeCell ref="D38:H38"/>
    <mergeCell ref="B21:D21"/>
    <mergeCell ref="A35:I35"/>
    <mergeCell ref="A4:I4"/>
    <mergeCell ref="B24:D24"/>
    <mergeCell ref="B20:D20"/>
    <mergeCell ref="B26:D26"/>
    <mergeCell ref="B12:D12"/>
    <mergeCell ref="B29:D29"/>
    <mergeCell ref="B10:D10"/>
    <mergeCell ref="B28:D28"/>
    <mergeCell ref="B19:D19"/>
    <mergeCell ref="B15:D15"/>
    <mergeCell ref="B11:D11"/>
    <mergeCell ref="B14:D14"/>
    <mergeCell ref="B23:D23"/>
    <mergeCell ref="H1:I1"/>
    <mergeCell ref="B17:D17"/>
    <mergeCell ref="B13:D13"/>
    <mergeCell ref="A3:I3"/>
  </mergeCells>
  <printOptions horizontalCentered="1"/>
  <pageMargins left="0.37013888888888902" right="0.4" top="0.359722222222222" bottom="0.55972222222222201" header="0.511811023622047" footer="0.3"/>
  <pageSetup paperSize="9" scale="70" orientation="landscape" horizontalDpi="300" verticalDpi="300" r:id="rId1"/>
  <headerFooter>
    <oddFooter>&amp;C&amp;A&amp;RPage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80"/>
    <pageSetUpPr fitToPage="1"/>
  </sheetPr>
  <dimension ref="A2:IW24"/>
  <sheetViews>
    <sheetView tabSelected="1" view="pageBreakPreview" zoomScale="85" zoomScaleNormal="115" zoomScalePageLayoutView="85" workbookViewId="0">
      <selection activeCell="A4" sqref="A4"/>
    </sheetView>
  </sheetViews>
  <sheetFormatPr defaultColWidth="9.140625" defaultRowHeight="12.75"/>
  <cols>
    <col min="1" max="1" width="5.85546875" style="49" customWidth="1"/>
    <col min="2" max="2" width="29.42578125" style="2" customWidth="1"/>
    <col min="3" max="3" width="15" style="2" customWidth="1"/>
    <col min="4" max="4" width="12.28515625" style="2" customWidth="1"/>
    <col min="5" max="5" width="10.42578125" style="49" customWidth="1"/>
    <col min="6" max="6" width="11.5703125" style="49" customWidth="1"/>
    <col min="7" max="7" width="19.42578125" style="49" customWidth="1"/>
    <col min="8" max="8" width="34" style="89" customWidth="1"/>
    <col min="9" max="9" width="11.42578125" style="2" customWidth="1"/>
    <col min="10" max="10" width="12.5703125" style="2" customWidth="1"/>
    <col min="11" max="11" width="17.5703125" style="90" customWidth="1"/>
    <col min="12" max="12" width="9.140625" style="90" customWidth="1"/>
    <col min="13" max="13" width="20.140625" style="90" customWidth="1"/>
    <col min="14" max="14" width="15.85546875" style="90" customWidth="1"/>
    <col min="15" max="15" width="14.42578125" style="90" customWidth="1"/>
    <col min="16" max="16" width="11" style="90" customWidth="1"/>
    <col min="17" max="25" width="9.140625" style="90" customWidth="1"/>
    <col min="26" max="257" width="9.140625" style="2" customWidth="1"/>
  </cols>
  <sheetData>
    <row r="2" spans="1:25" s="52" customFormat="1" ht="17.850000000000001" customHeight="1">
      <c r="A2" s="167" t="s">
        <v>95</v>
      </c>
      <c r="B2" s="186"/>
      <c r="C2" s="186"/>
      <c r="D2" s="186"/>
      <c r="E2" s="186"/>
      <c r="F2" s="186"/>
      <c r="G2" s="186"/>
      <c r="H2" s="186"/>
      <c r="K2" s="91"/>
      <c r="L2" s="91"/>
      <c r="M2" s="91"/>
      <c r="N2" s="91"/>
      <c r="O2" s="91"/>
      <c r="P2" s="91"/>
      <c r="Q2" s="91"/>
      <c r="R2" s="91"/>
      <c r="S2" s="91"/>
      <c r="T2" s="91"/>
      <c r="U2" s="91"/>
      <c r="V2" s="91"/>
      <c r="W2" s="91"/>
      <c r="X2" s="91"/>
      <c r="Y2" s="91"/>
    </row>
    <row r="3" spans="1:25" s="52" customFormat="1" ht="21" customHeight="1">
      <c r="A3" s="167" t="s">
        <v>96</v>
      </c>
      <c r="B3" s="186"/>
      <c r="C3" s="186"/>
      <c r="D3" s="186"/>
      <c r="E3" s="186"/>
      <c r="F3" s="186"/>
      <c r="G3" s="186"/>
      <c r="H3" s="186"/>
      <c r="K3" s="91"/>
      <c r="L3" s="91"/>
      <c r="M3" s="91"/>
      <c r="N3" s="91"/>
      <c r="O3" s="91"/>
      <c r="P3" s="91"/>
      <c r="Q3" s="91"/>
      <c r="R3" s="91"/>
      <c r="S3" s="91"/>
      <c r="T3" s="91"/>
      <c r="U3" s="91"/>
      <c r="V3" s="91"/>
      <c r="W3" s="91"/>
      <c r="X3" s="91"/>
      <c r="Y3" s="91"/>
    </row>
    <row r="4" spans="1:25" s="52" customFormat="1" ht="16.5" customHeight="1">
      <c r="A4" s="30"/>
      <c r="B4" s="30"/>
      <c r="C4" s="30"/>
      <c r="D4" s="30"/>
      <c r="E4" s="30"/>
      <c r="F4" s="30"/>
      <c r="G4" s="30"/>
      <c r="H4" s="30"/>
      <c r="K4" s="91"/>
      <c r="L4" s="91"/>
      <c r="M4" s="91"/>
      <c r="N4" s="91"/>
      <c r="O4" s="91"/>
      <c r="P4" s="91"/>
      <c r="Q4" s="91"/>
      <c r="R4" s="91"/>
      <c r="S4" s="91"/>
      <c r="T4" s="91"/>
      <c r="U4" s="91"/>
      <c r="V4" s="91"/>
      <c r="W4" s="91"/>
      <c r="X4" s="91"/>
      <c r="Y4" s="91"/>
    </row>
    <row r="5" spans="1:25" s="52" customFormat="1" ht="17.25" customHeight="1">
      <c r="A5" s="30"/>
      <c r="B5" s="54"/>
      <c r="C5" s="54"/>
      <c r="D5" s="54"/>
      <c r="E5" s="51"/>
      <c r="F5" s="51"/>
      <c r="G5" s="60"/>
      <c r="H5" s="92" t="s">
        <v>40</v>
      </c>
      <c r="K5" s="91"/>
      <c r="L5" s="91"/>
      <c r="M5" s="91"/>
      <c r="N5" s="91"/>
      <c r="O5" s="91"/>
      <c r="P5" s="91"/>
      <c r="Q5" s="91"/>
      <c r="R5" s="91"/>
      <c r="S5" s="91"/>
      <c r="T5" s="91"/>
      <c r="U5" s="91"/>
      <c r="V5" s="91"/>
      <c r="W5" s="91"/>
      <c r="X5" s="91"/>
      <c r="Y5" s="91"/>
    </row>
    <row r="6" spans="1:25" s="93" customFormat="1" ht="82.5" customHeight="1">
      <c r="A6" s="62" t="s">
        <v>97</v>
      </c>
      <c r="B6" s="195" t="s">
        <v>98</v>
      </c>
      <c r="C6" s="181"/>
      <c r="D6" s="62" t="s">
        <v>99</v>
      </c>
      <c r="E6" s="62" t="s">
        <v>100</v>
      </c>
      <c r="F6" s="62" t="s">
        <v>101</v>
      </c>
      <c r="G6" s="62" t="s">
        <v>102</v>
      </c>
      <c r="H6" s="62" t="s">
        <v>103</v>
      </c>
      <c r="K6" s="94"/>
      <c r="L6" s="94"/>
      <c r="M6" s="94"/>
      <c r="N6" s="94"/>
      <c r="O6" s="94"/>
      <c r="P6" s="94"/>
      <c r="Q6" s="94"/>
      <c r="R6" s="94"/>
      <c r="S6" s="94"/>
      <c r="T6" s="94"/>
      <c r="U6" s="94"/>
      <c r="V6" s="94"/>
      <c r="W6" s="94"/>
      <c r="X6" s="94"/>
      <c r="Y6" s="94"/>
    </row>
    <row r="7" spans="1:25" s="95" customFormat="1" ht="15" customHeight="1">
      <c r="A7" s="96" t="s">
        <v>48</v>
      </c>
      <c r="B7" s="196" t="s">
        <v>49</v>
      </c>
      <c r="C7" s="181"/>
      <c r="D7" s="96" t="s">
        <v>104</v>
      </c>
      <c r="E7" s="96" t="s">
        <v>51</v>
      </c>
      <c r="F7" s="96" t="s">
        <v>105</v>
      </c>
      <c r="G7" s="96" t="s">
        <v>54</v>
      </c>
      <c r="H7" s="96" t="s">
        <v>106</v>
      </c>
      <c r="K7" s="97"/>
      <c r="L7" s="97"/>
      <c r="M7" s="97"/>
      <c r="N7" s="97"/>
      <c r="O7" s="97"/>
      <c r="P7" s="97"/>
      <c r="Q7" s="97"/>
      <c r="R7" s="97"/>
      <c r="S7" s="97"/>
      <c r="T7" s="97"/>
      <c r="U7" s="97"/>
      <c r="V7" s="97"/>
      <c r="W7" s="97"/>
      <c r="X7" s="97"/>
      <c r="Y7" s="97"/>
    </row>
    <row r="8" spans="1:25" s="93" customFormat="1" ht="69.599999999999994" customHeight="1">
      <c r="A8" s="67">
        <v>1</v>
      </c>
      <c r="B8" s="98" t="s">
        <v>107</v>
      </c>
      <c r="C8" s="98"/>
      <c r="D8" s="65" t="s">
        <v>108</v>
      </c>
      <c r="E8" s="67">
        <v>18</v>
      </c>
      <c r="F8" s="66">
        <v>40000</v>
      </c>
      <c r="G8" s="66">
        <f t="shared" ref="G8:G15" si="0">E8*F8</f>
        <v>720000</v>
      </c>
      <c r="H8" s="98" t="s">
        <v>109</v>
      </c>
      <c r="K8" s="94"/>
      <c r="L8" s="94"/>
      <c r="M8" s="94"/>
      <c r="N8" s="94"/>
      <c r="O8" s="94"/>
      <c r="P8" s="94"/>
      <c r="Q8" s="94"/>
      <c r="R8" s="94"/>
      <c r="S8" s="94"/>
      <c r="T8" s="94"/>
      <c r="U8" s="94"/>
      <c r="V8" s="94"/>
      <c r="W8" s="94"/>
      <c r="X8" s="94"/>
      <c r="Y8" s="94"/>
    </row>
    <row r="9" spans="1:25" s="93" customFormat="1" ht="71.45" customHeight="1">
      <c r="A9" s="67">
        <v>2</v>
      </c>
      <c r="B9" s="98" t="s">
        <v>110</v>
      </c>
      <c r="C9" s="98"/>
      <c r="D9" s="65" t="s">
        <v>108</v>
      </c>
      <c r="E9" s="67">
        <v>30</v>
      </c>
      <c r="F9" s="66">
        <v>25000</v>
      </c>
      <c r="G9" s="66">
        <f t="shared" si="0"/>
        <v>750000</v>
      </c>
      <c r="H9" s="98" t="s">
        <v>111</v>
      </c>
      <c r="K9" s="94"/>
      <c r="L9" s="94"/>
      <c r="M9" s="94"/>
      <c r="N9" s="94"/>
      <c r="O9" s="94"/>
      <c r="P9" s="94"/>
      <c r="Q9" s="94"/>
      <c r="R9" s="94"/>
      <c r="S9" s="94"/>
      <c r="T9" s="94"/>
      <c r="U9" s="94"/>
      <c r="V9" s="94"/>
      <c r="W9" s="94"/>
      <c r="X9" s="94"/>
      <c r="Y9" s="94"/>
    </row>
    <row r="10" spans="1:25" s="93" customFormat="1" ht="76.150000000000006" customHeight="1">
      <c r="A10" s="67">
        <v>3</v>
      </c>
      <c r="B10" s="98" t="s">
        <v>112</v>
      </c>
      <c r="C10" s="98"/>
      <c r="D10" s="65" t="s">
        <v>108</v>
      </c>
      <c r="E10" s="67">
        <v>40</v>
      </c>
      <c r="F10" s="66">
        <v>22000</v>
      </c>
      <c r="G10" s="66">
        <f t="shared" si="0"/>
        <v>880000</v>
      </c>
      <c r="H10" s="98" t="s">
        <v>113</v>
      </c>
      <c r="K10" s="94"/>
      <c r="L10" s="94"/>
      <c r="M10" s="94"/>
      <c r="N10" s="94"/>
      <c r="O10" s="94"/>
      <c r="P10" s="94"/>
      <c r="Q10" s="94"/>
      <c r="R10" s="94"/>
      <c r="S10" s="94"/>
      <c r="T10" s="94"/>
      <c r="U10" s="94"/>
      <c r="V10" s="94"/>
      <c r="W10" s="94"/>
      <c r="X10" s="94"/>
      <c r="Y10" s="94"/>
    </row>
    <row r="11" spans="1:25" s="93" customFormat="1" ht="29.25" customHeight="1">
      <c r="A11" s="67">
        <v>4</v>
      </c>
      <c r="B11" s="98" t="s">
        <v>114</v>
      </c>
      <c r="C11" s="98"/>
      <c r="D11" s="65" t="s">
        <v>108</v>
      </c>
      <c r="E11" s="67">
        <v>30</v>
      </c>
      <c r="F11" s="66">
        <v>22000</v>
      </c>
      <c r="G11" s="66">
        <f t="shared" si="0"/>
        <v>660000</v>
      </c>
      <c r="H11" s="98" t="s">
        <v>115</v>
      </c>
      <c r="K11" s="94"/>
      <c r="L11" s="94"/>
      <c r="M11" s="94"/>
      <c r="N11" s="94"/>
      <c r="O11" s="94"/>
      <c r="P11" s="94"/>
      <c r="Q11" s="94"/>
      <c r="R11" s="94"/>
      <c r="S11" s="94"/>
      <c r="T11" s="94"/>
      <c r="U11" s="94"/>
      <c r="V11" s="94"/>
      <c r="W11" s="94"/>
      <c r="X11" s="94"/>
      <c r="Y11" s="94"/>
    </row>
    <row r="12" spans="1:25" ht="20.100000000000001" customHeight="1">
      <c r="A12" s="67">
        <v>5</v>
      </c>
      <c r="B12" s="98" t="s">
        <v>116</v>
      </c>
      <c r="C12" s="98"/>
      <c r="D12" s="65" t="s">
        <v>108</v>
      </c>
      <c r="E12" s="67">
        <v>30</v>
      </c>
      <c r="F12" s="66">
        <v>22000</v>
      </c>
      <c r="G12" s="66">
        <f t="shared" si="0"/>
        <v>660000</v>
      </c>
      <c r="H12" s="98" t="s">
        <v>117</v>
      </c>
      <c r="K12" s="2"/>
      <c r="L12" s="2"/>
      <c r="M12" s="2"/>
      <c r="N12" s="2"/>
      <c r="O12" s="2"/>
      <c r="P12" s="2"/>
      <c r="Q12" s="2"/>
      <c r="R12" s="2"/>
      <c r="S12" s="2"/>
      <c r="T12" s="2"/>
      <c r="U12" s="2"/>
      <c r="V12" s="2"/>
      <c r="W12" s="2"/>
      <c r="X12" s="2"/>
      <c r="Y12" s="2"/>
    </row>
    <row r="13" spans="1:25" ht="15" customHeight="1">
      <c r="A13" s="67">
        <v>6</v>
      </c>
      <c r="B13" s="98" t="s">
        <v>118</v>
      </c>
      <c r="C13" s="98"/>
      <c r="D13" s="65" t="s">
        <v>108</v>
      </c>
      <c r="E13" s="99">
        <v>18</v>
      </c>
      <c r="F13" s="66">
        <v>20000</v>
      </c>
      <c r="G13" s="66">
        <f t="shared" si="0"/>
        <v>360000</v>
      </c>
      <c r="H13" s="98" t="s">
        <v>119</v>
      </c>
    </row>
    <row r="14" spans="1:25" ht="12.75" customHeight="1">
      <c r="A14" s="67">
        <v>7</v>
      </c>
      <c r="B14" s="98" t="s">
        <v>120</v>
      </c>
      <c r="C14" s="98"/>
      <c r="D14" s="65" t="s">
        <v>108</v>
      </c>
      <c r="E14" s="67">
        <v>20</v>
      </c>
      <c r="F14" s="66">
        <v>14500</v>
      </c>
      <c r="G14" s="66">
        <f t="shared" si="0"/>
        <v>290000</v>
      </c>
      <c r="H14" s="98" t="s">
        <v>121</v>
      </c>
    </row>
    <row r="15" spans="1:25" ht="12.75" customHeight="1">
      <c r="A15" s="67">
        <v>8</v>
      </c>
      <c r="B15" s="98" t="s">
        <v>122</v>
      </c>
      <c r="C15" s="98"/>
      <c r="D15" s="65" t="s">
        <v>108</v>
      </c>
      <c r="E15" s="67">
        <v>6</v>
      </c>
      <c r="F15" s="66">
        <v>30000</v>
      </c>
      <c r="G15" s="66">
        <f t="shared" si="0"/>
        <v>180000</v>
      </c>
      <c r="H15" s="98" t="s">
        <v>123</v>
      </c>
    </row>
    <row r="16" spans="1:25" ht="12.75" customHeight="1">
      <c r="A16" s="147"/>
      <c r="B16" s="100" t="s">
        <v>88</v>
      </c>
      <c r="C16" s="100"/>
      <c r="D16" s="147"/>
      <c r="E16" s="78">
        <f>SUM(E8:E15)</f>
        <v>192</v>
      </c>
      <c r="F16" s="148"/>
      <c r="G16" s="85">
        <f>SUM(G8:G15)</f>
        <v>4500000</v>
      </c>
      <c r="H16" s="100"/>
    </row>
    <row r="17" spans="1:8" ht="12.75" customHeight="1">
      <c r="A17" s="145"/>
      <c r="B17" s="145"/>
      <c r="C17" s="145"/>
      <c r="D17" s="145"/>
      <c r="E17" s="145"/>
      <c r="F17" s="145"/>
      <c r="G17" s="145"/>
      <c r="H17" s="145"/>
    </row>
    <row r="18" spans="1:8" ht="12.75" customHeight="1">
      <c r="A18" s="145"/>
      <c r="B18" s="145"/>
      <c r="C18" s="145"/>
      <c r="D18" s="145"/>
      <c r="E18" s="145"/>
      <c r="F18" s="145"/>
      <c r="G18" s="145"/>
      <c r="H18" s="145"/>
    </row>
    <row r="19" spans="1:8" ht="12.75" customHeight="1">
      <c r="A19" s="145"/>
      <c r="B19" s="145"/>
      <c r="C19" s="145"/>
      <c r="D19" s="145"/>
      <c r="E19" s="145"/>
      <c r="F19" s="145"/>
      <c r="G19" s="145"/>
      <c r="H19" s="145"/>
    </row>
    <row r="20" spans="1:8" ht="12.75" customHeight="1"/>
    <row r="21" spans="1:8" ht="12.75" customHeight="1"/>
    <row r="22" spans="1:8" ht="12.75" customHeight="1"/>
    <row r="23" spans="1:8" ht="34.5" customHeight="1"/>
    <row r="24" spans="1:8" ht="26.25" customHeight="1"/>
  </sheetData>
  <mergeCells count="4">
    <mergeCell ref="B6:C6"/>
    <mergeCell ref="A3:H3"/>
    <mergeCell ref="A2:H2"/>
    <mergeCell ref="B7:C7"/>
  </mergeCells>
  <printOptions horizontalCentered="1"/>
  <pageMargins left="0.55000000000000004" right="0.4" top="0.74027777777777803" bottom="0.75" header="0.511811023622047" footer="0.3"/>
  <pageSetup paperSize="9" fitToHeight="0" orientation="landscape" horizontalDpi="300" verticalDpi="300" r:id="rId1"/>
  <headerFooter>
    <oddFooter>&amp;C&amp;A&amp;RPage &amp;P</oddFooter>
  </headerFooter>
  <rowBreaks count="1" manualBreakCount="1">
    <brk id="12"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W34"/>
  <sheetViews>
    <sheetView view="pageBreakPreview" topLeftCell="A4" zoomScale="85" zoomScaleNormal="85" zoomScalePageLayoutView="85" workbookViewId="0">
      <selection activeCell="J9" sqref="J9"/>
    </sheetView>
  </sheetViews>
  <sheetFormatPr defaultColWidth="9.140625" defaultRowHeight="16.5"/>
  <cols>
    <col min="1" max="1" width="8.5703125" style="51" customWidth="1"/>
    <col min="2" max="2" width="31.140625" style="54" customWidth="1"/>
    <col min="3" max="3" width="8.5703125" style="54" customWidth="1"/>
    <col min="4" max="4" width="14.5703125" style="54" customWidth="1"/>
    <col min="5" max="5" width="8.5703125" style="54" customWidth="1"/>
    <col min="6" max="6" width="9.7109375" style="51" customWidth="1"/>
    <col min="7" max="7" width="9.42578125" style="88" customWidth="1"/>
    <col min="8" max="8" width="14.7109375" style="88" customWidth="1"/>
    <col min="9" max="9" width="8.7109375" style="88" customWidth="1"/>
    <col min="10" max="10" width="12.85546875" style="51" customWidth="1"/>
    <col min="11" max="11" width="22.42578125" style="101" customWidth="1"/>
    <col min="12" max="12" width="11.42578125" style="54" customWidth="1"/>
    <col min="13" max="13" width="12.5703125" style="54" customWidth="1"/>
    <col min="14" max="14" width="17.5703125" style="54" customWidth="1"/>
    <col min="15" max="15" width="9.140625" style="54" customWidth="1"/>
    <col min="16" max="16" width="20.140625" style="54" customWidth="1"/>
    <col min="17" max="17" width="15.85546875" style="54" customWidth="1"/>
    <col min="18" max="18" width="14.42578125" style="54" customWidth="1"/>
    <col min="19" max="19" width="11" style="54" customWidth="1"/>
    <col min="20" max="257" width="9.140625" style="54" customWidth="1"/>
  </cols>
  <sheetData>
    <row r="1" spans="1:11" ht="16.5" customHeight="1">
      <c r="I1" s="191"/>
      <c r="J1" s="173"/>
      <c r="K1" s="199"/>
    </row>
    <row r="2" spans="1:11" ht="20.25" customHeight="1">
      <c r="A2" s="167" t="s">
        <v>124</v>
      </c>
      <c r="B2" s="197"/>
      <c r="C2" s="197"/>
      <c r="D2" s="197"/>
      <c r="E2" s="197"/>
      <c r="F2" s="173"/>
      <c r="G2" s="198"/>
      <c r="H2" s="198"/>
      <c r="I2" s="198"/>
      <c r="J2" s="173"/>
      <c r="K2" s="199"/>
    </row>
    <row r="3" spans="1:11" ht="16.7" customHeight="1">
      <c r="A3" s="200" t="s">
        <v>125</v>
      </c>
      <c r="B3" s="197"/>
      <c r="C3" s="197"/>
      <c r="D3" s="197"/>
      <c r="E3" s="197"/>
      <c r="F3" s="173"/>
      <c r="G3" s="198"/>
      <c r="H3" s="198"/>
      <c r="I3" s="198"/>
      <c r="J3" s="173"/>
      <c r="K3" s="199"/>
    </row>
    <row r="4" spans="1:11" ht="16.5" customHeight="1">
      <c r="A4" s="102"/>
      <c r="B4" s="102"/>
      <c r="C4" s="102"/>
      <c r="D4" s="102"/>
      <c r="E4" s="102"/>
      <c r="F4" s="102"/>
      <c r="G4" s="102"/>
      <c r="H4" s="102"/>
      <c r="I4" s="102"/>
      <c r="J4" s="102"/>
      <c r="K4" s="102"/>
    </row>
    <row r="5" spans="1:11" ht="13.5" customHeight="1">
      <c r="A5" s="30"/>
      <c r="J5" s="60"/>
      <c r="K5" s="92" t="s">
        <v>40</v>
      </c>
    </row>
    <row r="6" spans="1:11" ht="82.5" customHeight="1">
      <c r="A6" s="61" t="s">
        <v>97</v>
      </c>
      <c r="B6" s="61" t="s">
        <v>98</v>
      </c>
      <c r="C6" s="61" t="s">
        <v>126</v>
      </c>
      <c r="D6" s="62" t="s">
        <v>127</v>
      </c>
      <c r="E6" s="62" t="s">
        <v>128</v>
      </c>
      <c r="F6" s="62" t="s">
        <v>129</v>
      </c>
      <c r="G6" s="62" t="s">
        <v>130</v>
      </c>
      <c r="H6" s="62" t="s">
        <v>131</v>
      </c>
      <c r="I6" s="62" t="s">
        <v>45</v>
      </c>
      <c r="J6" s="62" t="s">
        <v>46</v>
      </c>
      <c r="K6" s="62" t="s">
        <v>132</v>
      </c>
    </row>
    <row r="7" spans="1:11" s="103" customFormat="1" ht="30" customHeight="1">
      <c r="A7" s="104" t="s">
        <v>48</v>
      </c>
      <c r="B7" s="105" t="s">
        <v>49</v>
      </c>
      <c r="C7" s="104" t="s">
        <v>50</v>
      </c>
      <c r="D7" s="106" t="s">
        <v>51</v>
      </c>
      <c r="E7" s="106" t="s">
        <v>52</v>
      </c>
      <c r="F7" s="106" t="s">
        <v>133</v>
      </c>
      <c r="G7" s="106" t="s">
        <v>54</v>
      </c>
      <c r="H7" s="106" t="s">
        <v>134</v>
      </c>
      <c r="I7" s="106" t="s">
        <v>135</v>
      </c>
      <c r="J7" s="106" t="s">
        <v>136</v>
      </c>
      <c r="K7" s="106" t="s">
        <v>137</v>
      </c>
    </row>
    <row r="8" spans="1:11" s="107" customFormat="1" ht="21.75" customHeight="1">
      <c r="A8" s="100" t="s">
        <v>138</v>
      </c>
      <c r="B8" s="100" t="s">
        <v>139</v>
      </c>
      <c r="C8" s="145"/>
      <c r="D8" s="145"/>
      <c r="E8" s="145"/>
      <c r="F8" s="145"/>
      <c r="G8" s="66"/>
      <c r="H8" s="66"/>
      <c r="I8" s="66"/>
      <c r="J8" s="146"/>
      <c r="K8" s="145"/>
    </row>
    <row r="9" spans="1:11" s="109" customFormat="1" ht="23.25" customHeight="1">
      <c r="A9" s="67">
        <v>1</v>
      </c>
      <c r="B9" s="98" t="s">
        <v>140</v>
      </c>
      <c r="C9" s="65" t="s">
        <v>141</v>
      </c>
      <c r="D9" s="67">
        <v>15</v>
      </c>
      <c r="E9" s="140">
        <v>1</v>
      </c>
      <c r="F9" s="140">
        <v>0</v>
      </c>
      <c r="G9" s="68">
        <v>50000</v>
      </c>
      <c r="H9" s="66">
        <f t="shared" ref="H9:H16" si="0">(D9*E9+F9)*G9</f>
        <v>750000</v>
      </c>
      <c r="I9" s="66">
        <v>0</v>
      </c>
      <c r="J9" s="66">
        <f t="shared" ref="J9:J16" si="1">H9+I9</f>
        <v>750000</v>
      </c>
      <c r="K9" s="145"/>
    </row>
    <row r="10" spans="1:11" ht="21.75" customHeight="1">
      <c r="A10" s="67">
        <v>2</v>
      </c>
      <c r="B10" s="98" t="s">
        <v>142</v>
      </c>
      <c r="C10" s="65" t="s">
        <v>141</v>
      </c>
      <c r="D10" s="67">
        <v>10</v>
      </c>
      <c r="E10" s="67">
        <v>1</v>
      </c>
      <c r="F10" s="67">
        <v>2</v>
      </c>
      <c r="G10" s="66">
        <v>100000</v>
      </c>
      <c r="H10" s="66">
        <f t="shared" si="0"/>
        <v>1200000</v>
      </c>
      <c r="I10" s="66">
        <v>0</v>
      </c>
      <c r="J10" s="68">
        <f t="shared" si="1"/>
        <v>1200000</v>
      </c>
      <c r="K10" s="145"/>
    </row>
    <row r="11" spans="1:11" s="109" customFormat="1" ht="34.5" customHeight="1">
      <c r="A11" s="67">
        <v>3</v>
      </c>
      <c r="B11" s="98" t="s">
        <v>143</v>
      </c>
      <c r="C11" s="65" t="s">
        <v>141</v>
      </c>
      <c r="D11" s="67">
        <v>20</v>
      </c>
      <c r="E11" s="140">
        <v>1</v>
      </c>
      <c r="F11" s="140">
        <v>0</v>
      </c>
      <c r="G11" s="68">
        <v>5000</v>
      </c>
      <c r="H11" s="66">
        <f t="shared" si="0"/>
        <v>100000</v>
      </c>
      <c r="I11" s="66">
        <v>0</v>
      </c>
      <c r="J11" s="66">
        <f t="shared" si="1"/>
        <v>100000</v>
      </c>
      <c r="K11" s="145"/>
    </row>
    <row r="12" spans="1:11" ht="21.75" customHeight="1">
      <c r="A12" s="67">
        <v>4</v>
      </c>
      <c r="B12" s="98" t="s">
        <v>144</v>
      </c>
      <c r="C12" s="65" t="s">
        <v>145</v>
      </c>
      <c r="D12" s="67">
        <v>25</v>
      </c>
      <c r="E12" s="67">
        <v>1</v>
      </c>
      <c r="F12" s="67">
        <v>5</v>
      </c>
      <c r="G12" s="66">
        <v>8000</v>
      </c>
      <c r="H12" s="66">
        <f t="shared" si="0"/>
        <v>240000</v>
      </c>
      <c r="I12" s="66">
        <v>0</v>
      </c>
      <c r="J12" s="68">
        <f t="shared" si="1"/>
        <v>240000</v>
      </c>
      <c r="K12" s="145"/>
    </row>
    <row r="13" spans="1:11" s="109" customFormat="1" ht="33" customHeight="1">
      <c r="A13" s="67">
        <v>5</v>
      </c>
      <c r="B13" s="98" t="s">
        <v>146</v>
      </c>
      <c r="C13" s="65" t="s">
        <v>147</v>
      </c>
      <c r="D13" s="67">
        <v>6</v>
      </c>
      <c r="E13" s="140">
        <v>1</v>
      </c>
      <c r="F13" s="140">
        <v>0</v>
      </c>
      <c r="G13" s="68">
        <v>50000</v>
      </c>
      <c r="H13" s="66">
        <f t="shared" si="0"/>
        <v>300000</v>
      </c>
      <c r="I13" s="66">
        <v>0</v>
      </c>
      <c r="J13" s="66">
        <f t="shared" si="1"/>
        <v>300000</v>
      </c>
      <c r="K13" s="145"/>
    </row>
    <row r="14" spans="1:11" ht="21.75" customHeight="1">
      <c r="A14" s="67">
        <v>6</v>
      </c>
      <c r="B14" s="98" t="s">
        <v>148</v>
      </c>
      <c r="C14" s="65" t="s">
        <v>141</v>
      </c>
      <c r="D14" s="67">
        <v>20</v>
      </c>
      <c r="E14" s="67">
        <v>1</v>
      </c>
      <c r="F14" s="67">
        <v>0</v>
      </c>
      <c r="G14" s="66">
        <v>5000</v>
      </c>
      <c r="H14" s="66">
        <f t="shared" si="0"/>
        <v>100000</v>
      </c>
      <c r="I14" s="66">
        <v>0</v>
      </c>
      <c r="J14" s="68">
        <f t="shared" si="1"/>
        <v>100000</v>
      </c>
      <c r="K14" s="145"/>
    </row>
    <row r="15" spans="1:11" s="109" customFormat="1" ht="22.5" customHeight="1">
      <c r="A15" s="67">
        <v>7</v>
      </c>
      <c r="B15" s="98" t="s">
        <v>149</v>
      </c>
      <c r="C15" s="65" t="s">
        <v>147</v>
      </c>
      <c r="D15" s="67">
        <v>5</v>
      </c>
      <c r="E15" s="140">
        <v>1</v>
      </c>
      <c r="F15" s="140">
        <v>0</v>
      </c>
      <c r="G15" s="68">
        <v>32000</v>
      </c>
      <c r="H15" s="66">
        <f t="shared" si="0"/>
        <v>160000</v>
      </c>
      <c r="I15" s="66">
        <v>0</v>
      </c>
      <c r="J15" s="66">
        <f t="shared" si="1"/>
        <v>160000</v>
      </c>
      <c r="K15" s="145"/>
    </row>
    <row r="16" spans="1:11" ht="21.75" customHeight="1">
      <c r="A16" s="67">
        <v>8</v>
      </c>
      <c r="B16" s="98" t="s">
        <v>150</v>
      </c>
      <c r="C16" s="65" t="s">
        <v>147</v>
      </c>
      <c r="D16" s="67">
        <v>5</v>
      </c>
      <c r="E16" s="67">
        <v>1</v>
      </c>
      <c r="F16" s="67">
        <v>0</v>
      </c>
      <c r="G16" s="66">
        <v>30000</v>
      </c>
      <c r="H16" s="66">
        <f t="shared" si="0"/>
        <v>150000</v>
      </c>
      <c r="I16" s="66">
        <v>0</v>
      </c>
      <c r="J16" s="68">
        <f t="shared" si="1"/>
        <v>150000</v>
      </c>
      <c r="K16" s="145"/>
    </row>
    <row r="17" spans="1:11" s="109" customFormat="1" ht="43.9" customHeight="1">
      <c r="A17" s="100"/>
      <c r="B17" s="100" t="s">
        <v>88</v>
      </c>
      <c r="C17" s="100"/>
      <c r="D17" s="100"/>
      <c r="E17" s="149"/>
      <c r="F17" s="149"/>
      <c r="G17" s="150"/>
      <c r="H17" s="85">
        <f>SUM(H9:H16)</f>
        <v>3000000</v>
      </c>
      <c r="I17" s="148"/>
      <c r="J17" s="85">
        <f>SUM(J9:J16)</f>
        <v>3000000</v>
      </c>
      <c r="K17" s="145"/>
    </row>
    <row r="18" spans="1:11" ht="21.75" customHeight="1">
      <c r="A18" s="145"/>
      <c r="B18" s="145"/>
      <c r="C18" s="145"/>
      <c r="D18" s="145"/>
      <c r="E18" s="145"/>
      <c r="F18" s="145"/>
      <c r="G18" s="66"/>
      <c r="H18" s="66"/>
      <c r="I18" s="66"/>
      <c r="J18" s="146"/>
      <c r="K18" s="145"/>
    </row>
    <row r="19" spans="1:11" s="107" customFormat="1" ht="21.75" customHeight="1">
      <c r="A19" s="145"/>
      <c r="B19" s="145"/>
      <c r="C19" s="145"/>
      <c r="D19" s="145"/>
      <c r="E19" s="145"/>
      <c r="F19" s="145"/>
      <c r="G19" s="66"/>
      <c r="H19" s="66"/>
      <c r="I19" s="66"/>
      <c r="J19" s="146"/>
      <c r="K19" s="145"/>
    </row>
    <row r="20" spans="1:11" ht="21.75" customHeight="1">
      <c r="A20" s="145"/>
      <c r="B20" s="145"/>
      <c r="C20" s="145"/>
      <c r="D20" s="145"/>
      <c r="E20" s="145"/>
      <c r="F20" s="145"/>
      <c r="G20" s="66"/>
      <c r="H20" s="66"/>
      <c r="I20" s="66"/>
      <c r="J20" s="146"/>
      <c r="K20" s="145"/>
    </row>
    <row r="21" spans="1:11" s="107" customFormat="1" ht="21.75" customHeight="1">
      <c r="A21" s="145"/>
      <c r="B21" s="145"/>
      <c r="C21" s="145"/>
      <c r="D21" s="145"/>
      <c r="E21" s="145"/>
      <c r="F21" s="145"/>
      <c r="G21" s="66"/>
      <c r="H21" s="66"/>
      <c r="I21" s="66"/>
      <c r="J21" s="146"/>
      <c r="K21" s="145"/>
    </row>
    <row r="22" spans="1:11" ht="21.75" customHeight="1">
      <c r="A22" s="145"/>
      <c r="B22" s="145"/>
      <c r="C22" s="145"/>
      <c r="D22" s="145"/>
      <c r="E22" s="145"/>
      <c r="F22" s="145"/>
      <c r="G22" s="66"/>
      <c r="H22" s="66"/>
      <c r="I22" s="66"/>
      <c r="J22" s="146"/>
      <c r="K22" s="145"/>
    </row>
    <row r="23" spans="1:11" ht="23.45" customHeight="1">
      <c r="A23" s="145"/>
      <c r="B23" s="145"/>
      <c r="C23" s="145"/>
      <c r="D23" s="145"/>
      <c r="E23" s="146"/>
      <c r="F23" s="146"/>
      <c r="G23" s="146"/>
      <c r="H23" s="146"/>
      <c r="I23" s="146"/>
      <c r="J23" s="145"/>
      <c r="K23" s="145"/>
    </row>
    <row r="24" spans="1:11" ht="16.5" customHeight="1">
      <c r="A24" s="145"/>
      <c r="B24" s="145"/>
      <c r="C24" s="145"/>
      <c r="D24" s="66"/>
      <c r="E24" s="146"/>
      <c r="F24" s="146"/>
      <c r="G24" s="146"/>
      <c r="H24" s="146"/>
      <c r="I24" s="146"/>
      <c r="J24" s="145"/>
      <c r="K24" s="145"/>
    </row>
    <row r="25" spans="1:11" ht="23.45" customHeight="1">
      <c r="A25" s="98"/>
      <c r="B25" s="98"/>
      <c r="C25" s="98"/>
      <c r="D25" s="98"/>
      <c r="E25" s="139"/>
      <c r="F25" s="139"/>
      <c r="G25" s="139"/>
      <c r="H25" s="139"/>
      <c r="I25" s="139"/>
      <c r="J25" s="98"/>
      <c r="K25" s="111"/>
    </row>
    <row r="26" spans="1:11" ht="16.5" customHeight="1">
      <c r="A26" s="98"/>
      <c r="B26" s="98"/>
      <c r="C26" s="98"/>
      <c r="D26" s="138"/>
      <c r="E26" s="139"/>
      <c r="F26" s="139"/>
      <c r="G26" s="139"/>
      <c r="H26" s="139"/>
      <c r="I26" s="139"/>
      <c r="J26" s="98"/>
      <c r="K26" s="111"/>
    </row>
    <row r="27" spans="1:11" ht="21.75" customHeight="1">
      <c r="A27" s="98"/>
      <c r="B27" s="98"/>
      <c r="C27" s="98"/>
      <c r="D27" s="98"/>
      <c r="E27" s="98"/>
      <c r="F27" s="98"/>
      <c r="G27" s="141"/>
      <c r="H27" s="141"/>
      <c r="I27" s="141"/>
      <c r="J27" s="139"/>
      <c r="K27" s="116"/>
    </row>
    <row r="28" spans="1:11">
      <c r="A28" s="98"/>
      <c r="B28" s="98"/>
      <c r="C28" s="98"/>
      <c r="D28" s="98"/>
      <c r="E28" s="98"/>
      <c r="F28" s="98"/>
      <c r="G28" s="98"/>
      <c r="H28" s="98"/>
      <c r="I28" s="98"/>
      <c r="J28" s="98"/>
    </row>
    <row r="29" spans="1:11">
      <c r="A29" s="98"/>
      <c r="B29" s="98"/>
      <c r="C29" s="98"/>
      <c r="D29" s="98"/>
      <c r="E29" s="98"/>
      <c r="F29" s="98"/>
      <c r="G29" s="98"/>
      <c r="H29" s="98"/>
      <c r="I29" s="98"/>
      <c r="J29" s="98"/>
    </row>
    <row r="30" spans="1:11">
      <c r="A30" s="98"/>
      <c r="B30" s="98"/>
      <c r="C30" s="98"/>
      <c r="D30" s="98"/>
      <c r="E30" s="98"/>
      <c r="F30" s="98"/>
      <c r="G30" s="98"/>
      <c r="H30" s="98"/>
      <c r="I30" s="98"/>
      <c r="J30" s="98"/>
    </row>
    <row r="31" spans="1:11">
      <c r="A31" s="98"/>
      <c r="B31" s="98"/>
      <c r="C31" s="98"/>
      <c r="D31" s="98"/>
      <c r="E31" s="98"/>
      <c r="F31" s="98"/>
      <c r="G31" s="98"/>
      <c r="H31" s="98"/>
      <c r="I31" s="98"/>
      <c r="J31" s="98"/>
    </row>
    <row r="32" spans="1:11">
      <c r="A32" s="98"/>
      <c r="B32" s="98"/>
      <c r="C32" s="98"/>
      <c r="D32" s="98"/>
      <c r="E32" s="98"/>
      <c r="F32" s="98"/>
      <c r="G32" s="98"/>
      <c r="H32" s="98"/>
      <c r="I32" s="98"/>
      <c r="J32" s="98"/>
    </row>
    <row r="33" spans="1:10">
      <c r="A33" s="98"/>
      <c r="B33" s="98"/>
      <c r="C33" s="98"/>
      <c r="D33" s="98"/>
      <c r="E33" s="98"/>
      <c r="F33" s="98"/>
      <c r="G33" s="98"/>
      <c r="H33" s="98"/>
      <c r="I33" s="98"/>
      <c r="J33" s="98"/>
    </row>
    <row r="34" spans="1:10">
      <c r="A34" s="98"/>
      <c r="B34" s="98"/>
      <c r="C34" s="98"/>
      <c r="D34" s="98"/>
      <c r="E34" s="98"/>
      <c r="F34" s="98"/>
      <c r="G34" s="98"/>
      <c r="H34" s="98"/>
      <c r="I34" s="98"/>
      <c r="J34" s="98"/>
    </row>
  </sheetData>
  <mergeCells count="3">
    <mergeCell ref="A2:K2"/>
    <mergeCell ref="A3:K3"/>
    <mergeCell ref="I1:K1"/>
  </mergeCells>
  <printOptions horizontalCentered="1"/>
  <pageMargins left="0.57222222222222197" right="0.44027777777777799" top="0.74027777777777803" bottom="0.64027777777777795" header="0.511811023622047" footer="0.3"/>
  <pageSetup paperSize="9" scale="90" fitToHeight="0" orientation="landscape" horizontalDpi="300" verticalDpi="300" r:id="rId1"/>
  <headerFooter>
    <oddFooter>&amp;C&amp;A&amp;RPage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W39"/>
  <sheetViews>
    <sheetView view="pageBreakPreview" zoomScale="85" zoomScaleNormal="100" zoomScalePageLayoutView="85" workbookViewId="0">
      <selection activeCell="I22" sqref="A1:IV16384"/>
    </sheetView>
  </sheetViews>
  <sheetFormatPr defaultColWidth="9.140625" defaultRowHeight="12.75"/>
  <cols>
    <col min="1" max="1" width="5.85546875" style="49" customWidth="1"/>
    <col min="2" max="2" width="28.28515625" style="2" customWidth="1"/>
    <col min="3" max="3" width="8.140625" style="2" customWidth="1"/>
    <col min="4" max="4" width="15.42578125" style="49" customWidth="1"/>
    <col min="5" max="5" width="10.7109375" style="50" customWidth="1"/>
    <col min="6" max="6" width="14" style="50" customWidth="1"/>
    <col min="7" max="7" width="10.7109375" style="50" customWidth="1"/>
    <col min="8" max="8" width="14" style="49" customWidth="1"/>
    <col min="9" max="9" width="27.85546875" style="89" customWidth="1"/>
    <col min="10" max="10" width="35.7109375" style="2" customWidth="1"/>
    <col min="11" max="11" width="11.42578125" style="2" customWidth="1"/>
    <col min="12" max="12" width="12.5703125" style="2" customWidth="1"/>
    <col min="13" max="13" width="17.5703125" style="2" customWidth="1"/>
    <col min="14" max="14" width="9.140625" style="2" customWidth="1"/>
    <col min="15" max="15" width="20.140625" style="2" customWidth="1"/>
    <col min="16" max="16" width="15.85546875" style="2" customWidth="1"/>
    <col min="17" max="17" width="14.42578125" style="2" customWidth="1"/>
    <col min="18" max="18" width="11" style="2" customWidth="1"/>
    <col min="19" max="257" width="9.140625" style="2" customWidth="1"/>
  </cols>
  <sheetData>
    <row r="1" spans="1:10" s="54" customFormat="1" ht="16.5" customHeight="1">
      <c r="A1" s="51"/>
      <c r="F1" s="51"/>
      <c r="G1" s="191"/>
      <c r="H1" s="197"/>
      <c r="I1" s="197"/>
      <c r="J1" s="2"/>
    </row>
    <row r="2" spans="1:10" s="52" customFormat="1" ht="20.25" customHeight="1">
      <c r="A2" s="167" t="s">
        <v>151</v>
      </c>
      <c r="B2" s="186"/>
      <c r="C2" s="186"/>
      <c r="D2" s="186"/>
      <c r="E2" s="186"/>
      <c r="F2" s="186"/>
      <c r="G2" s="186"/>
      <c r="H2" s="186"/>
      <c r="I2" s="186"/>
      <c r="J2" s="117"/>
    </row>
    <row r="3" spans="1:10" s="52" customFormat="1" ht="15.6" customHeight="1">
      <c r="A3" s="200" t="s">
        <v>152</v>
      </c>
      <c r="B3" s="186"/>
      <c r="C3" s="186"/>
      <c r="D3" s="186"/>
      <c r="E3" s="186"/>
      <c r="F3" s="186"/>
      <c r="G3" s="186"/>
      <c r="H3" s="186"/>
      <c r="I3" s="186"/>
      <c r="J3" s="118"/>
    </row>
    <row r="4" spans="1:10" s="52" customFormat="1" ht="16.5" customHeight="1">
      <c r="A4" s="102"/>
      <c r="B4" s="102"/>
      <c r="C4" s="102"/>
      <c r="D4" s="102"/>
      <c r="E4" s="102"/>
      <c r="F4" s="102"/>
      <c r="G4" s="102"/>
      <c r="H4" s="102"/>
      <c r="I4" s="102"/>
      <c r="J4" s="59"/>
    </row>
    <row r="5" spans="1:10" ht="13.5" customHeight="1">
      <c r="A5" s="30"/>
      <c r="B5" s="54"/>
      <c r="C5" s="54"/>
      <c r="D5" s="51"/>
      <c r="E5" s="88"/>
      <c r="F5" s="88"/>
      <c r="G5" s="88"/>
      <c r="H5" s="60"/>
      <c r="I5" s="92" t="s">
        <v>40</v>
      </c>
      <c r="J5" s="52"/>
    </row>
    <row r="6" spans="1:10" s="119" customFormat="1" ht="87.75" customHeight="1">
      <c r="A6" s="62" t="s">
        <v>97</v>
      </c>
      <c r="B6" s="62" t="s">
        <v>98</v>
      </c>
      <c r="C6" s="62" t="s">
        <v>126</v>
      </c>
      <c r="D6" s="62" t="s">
        <v>100</v>
      </c>
      <c r="E6" s="62" t="s">
        <v>130</v>
      </c>
      <c r="F6" s="62" t="s">
        <v>131</v>
      </c>
      <c r="G6" s="62" t="s">
        <v>45</v>
      </c>
      <c r="H6" s="62" t="s">
        <v>46</v>
      </c>
      <c r="I6" s="62" t="s">
        <v>132</v>
      </c>
    </row>
    <row r="7" spans="1:10" s="103" customFormat="1" ht="23.25" customHeight="1">
      <c r="A7" s="104" t="s">
        <v>48</v>
      </c>
      <c r="B7" s="105" t="s">
        <v>49</v>
      </c>
      <c r="C7" s="104" t="s">
        <v>50</v>
      </c>
      <c r="D7" s="106" t="s">
        <v>51</v>
      </c>
      <c r="E7" s="106" t="s">
        <v>52</v>
      </c>
      <c r="F7" s="106" t="s">
        <v>153</v>
      </c>
      <c r="G7" s="106" t="s">
        <v>54</v>
      </c>
      <c r="H7" s="106" t="s">
        <v>154</v>
      </c>
      <c r="I7" s="106" t="s">
        <v>135</v>
      </c>
    </row>
    <row r="8" spans="1:10" s="54" customFormat="1" ht="23.45" customHeight="1">
      <c r="A8" s="100" t="s">
        <v>155</v>
      </c>
      <c r="B8" s="100" t="s">
        <v>156</v>
      </c>
      <c r="C8" s="145"/>
      <c r="D8" s="145"/>
      <c r="E8" s="146"/>
      <c r="F8" s="146"/>
      <c r="G8" s="146"/>
      <c r="H8" s="146"/>
      <c r="I8" s="146"/>
    </row>
    <row r="9" spans="1:10" s="54" customFormat="1" ht="23.45" customHeight="1">
      <c r="A9" s="67">
        <v>1</v>
      </c>
      <c r="B9" s="98" t="s">
        <v>157</v>
      </c>
      <c r="C9" s="65" t="s">
        <v>158</v>
      </c>
      <c r="D9" s="67">
        <v>3</v>
      </c>
      <c r="E9" s="68">
        <v>100000</v>
      </c>
      <c r="F9" s="68">
        <f>D9*E9</f>
        <v>300000</v>
      </c>
      <c r="G9" s="68">
        <v>0</v>
      </c>
      <c r="H9" s="68">
        <f>F9+G9</f>
        <v>300000</v>
      </c>
      <c r="I9" s="146"/>
    </row>
    <row r="10" spans="1:10" s="54" customFormat="1" ht="17.25" customHeight="1">
      <c r="A10" s="67">
        <v>2</v>
      </c>
      <c r="B10" s="98" t="s">
        <v>159</v>
      </c>
      <c r="C10" s="65" t="s">
        <v>158</v>
      </c>
      <c r="D10" s="67">
        <v>2</v>
      </c>
      <c r="E10" s="68">
        <v>150000</v>
      </c>
      <c r="F10" s="68">
        <f>D10*E10</f>
        <v>300000</v>
      </c>
      <c r="G10" s="68">
        <v>0</v>
      </c>
      <c r="H10" s="68">
        <f>F10+G10</f>
        <v>300000</v>
      </c>
      <c r="I10" s="146"/>
    </row>
    <row r="11" spans="1:10" s="54" customFormat="1" ht="16.5" customHeight="1">
      <c r="A11" s="67">
        <v>3</v>
      </c>
      <c r="B11" s="98" t="s">
        <v>160</v>
      </c>
      <c r="C11" s="65" t="s">
        <v>141</v>
      </c>
      <c r="D11" s="67">
        <v>5</v>
      </c>
      <c r="E11" s="68">
        <v>40000</v>
      </c>
      <c r="F11" s="68">
        <f>D11*E11</f>
        <v>200000</v>
      </c>
      <c r="G11" s="68">
        <v>0</v>
      </c>
      <c r="H11" s="68">
        <f>F11+G11</f>
        <v>200000</v>
      </c>
      <c r="I11" s="146"/>
    </row>
    <row r="12" spans="1:10" s="54" customFormat="1" ht="17.25" customHeight="1">
      <c r="A12" s="67">
        <v>4</v>
      </c>
      <c r="B12" s="98" t="s">
        <v>161</v>
      </c>
      <c r="C12" s="65" t="s">
        <v>141</v>
      </c>
      <c r="D12" s="67">
        <v>8</v>
      </c>
      <c r="E12" s="68">
        <v>50000</v>
      </c>
      <c r="F12" s="68">
        <f>D12*E12</f>
        <v>400000</v>
      </c>
      <c r="G12" s="68">
        <v>0</v>
      </c>
      <c r="H12" s="68">
        <f>F12+G12</f>
        <v>400000</v>
      </c>
      <c r="I12" s="146"/>
    </row>
    <row r="13" spans="1:10" s="54" customFormat="1" ht="16.5" customHeight="1">
      <c r="A13" s="67">
        <v>5</v>
      </c>
      <c r="B13" s="98" t="s">
        <v>162</v>
      </c>
      <c r="C13" s="65" t="s">
        <v>141</v>
      </c>
      <c r="D13" s="67">
        <v>5</v>
      </c>
      <c r="E13" s="68">
        <v>60000</v>
      </c>
      <c r="F13" s="68">
        <f>D13*E13</f>
        <v>300000</v>
      </c>
      <c r="G13" s="68">
        <v>0</v>
      </c>
      <c r="H13" s="68">
        <f>F13+G13</f>
        <v>300000</v>
      </c>
      <c r="I13" s="146"/>
    </row>
    <row r="14" spans="1:10" s="54" customFormat="1" ht="23.45" customHeight="1">
      <c r="A14" s="145"/>
      <c r="B14" s="145"/>
      <c r="C14" s="145"/>
      <c r="D14" s="145"/>
      <c r="E14" s="146"/>
      <c r="F14" s="146"/>
      <c r="G14" s="146"/>
      <c r="H14" s="146"/>
      <c r="I14" s="146"/>
    </row>
    <row r="15" spans="1:10" s="54" customFormat="1" ht="16.5" customHeight="1">
      <c r="A15" s="100" t="s">
        <v>163</v>
      </c>
      <c r="B15" s="100" t="s">
        <v>164</v>
      </c>
      <c r="C15" s="145"/>
      <c r="D15" s="66"/>
      <c r="E15" s="146"/>
      <c r="F15" s="146"/>
      <c r="G15" s="146"/>
      <c r="H15" s="146"/>
      <c r="I15" s="146"/>
    </row>
    <row r="16" spans="1:10" s="54" customFormat="1" ht="23.45" customHeight="1">
      <c r="A16" s="67">
        <v>1</v>
      </c>
      <c r="B16" s="98" t="s">
        <v>165</v>
      </c>
      <c r="C16" s="65" t="s">
        <v>141</v>
      </c>
      <c r="D16" s="67">
        <v>1</v>
      </c>
      <c r="E16" s="68">
        <v>900000</v>
      </c>
      <c r="F16" s="68">
        <f>D16*E16</f>
        <v>900000</v>
      </c>
      <c r="G16" s="68">
        <v>0</v>
      </c>
      <c r="H16" s="68">
        <f>F16+G16</f>
        <v>900000</v>
      </c>
      <c r="I16" s="146"/>
    </row>
    <row r="17" spans="1:9" s="54" customFormat="1" ht="16.5" customHeight="1">
      <c r="A17" s="67">
        <v>2</v>
      </c>
      <c r="B17" s="98" t="s">
        <v>166</v>
      </c>
      <c r="C17" s="65" t="s">
        <v>141</v>
      </c>
      <c r="D17" s="67">
        <v>1</v>
      </c>
      <c r="E17" s="68">
        <v>600000</v>
      </c>
      <c r="F17" s="68">
        <f>D17*E17</f>
        <v>600000</v>
      </c>
      <c r="G17" s="68">
        <v>0</v>
      </c>
      <c r="H17" s="68">
        <f>F17+G17</f>
        <v>600000</v>
      </c>
      <c r="I17" s="146"/>
    </row>
    <row r="18" spans="1:9" s="54" customFormat="1" ht="23.45" customHeight="1">
      <c r="A18" s="67">
        <v>3</v>
      </c>
      <c r="B18" s="98" t="s">
        <v>167</v>
      </c>
      <c r="C18" s="65" t="s">
        <v>141</v>
      </c>
      <c r="D18" s="67">
        <v>2</v>
      </c>
      <c r="E18" s="68">
        <v>200000</v>
      </c>
      <c r="F18" s="68">
        <f>D18*E18</f>
        <v>400000</v>
      </c>
      <c r="G18" s="68">
        <v>0</v>
      </c>
      <c r="H18" s="68">
        <f>F18+G18</f>
        <v>400000</v>
      </c>
      <c r="I18" s="146"/>
    </row>
    <row r="19" spans="1:9" s="54" customFormat="1" ht="16.5" customHeight="1">
      <c r="A19" s="67">
        <v>4</v>
      </c>
      <c r="B19" s="98" t="s">
        <v>168</v>
      </c>
      <c r="C19" s="65" t="s">
        <v>141</v>
      </c>
      <c r="D19" s="67">
        <v>1</v>
      </c>
      <c r="E19" s="68">
        <v>150000</v>
      </c>
      <c r="F19" s="68">
        <f>D19*E19</f>
        <v>150000</v>
      </c>
      <c r="G19" s="68">
        <v>0</v>
      </c>
      <c r="H19" s="68">
        <f>F19+G19</f>
        <v>150000</v>
      </c>
      <c r="I19" s="146"/>
    </row>
    <row r="20" spans="1:9" s="54" customFormat="1" ht="36.75" customHeight="1">
      <c r="A20" s="67">
        <v>5</v>
      </c>
      <c r="B20" s="98" t="s">
        <v>169</v>
      </c>
      <c r="C20" s="65" t="s">
        <v>141</v>
      </c>
      <c r="D20" s="67">
        <v>2</v>
      </c>
      <c r="E20" s="68">
        <v>100000</v>
      </c>
      <c r="F20" s="68">
        <f>D20*E20</f>
        <v>200000</v>
      </c>
      <c r="G20" s="68">
        <v>0</v>
      </c>
      <c r="H20" s="68">
        <f>F20+G20</f>
        <v>200000</v>
      </c>
      <c r="I20" s="146"/>
    </row>
    <row r="21" spans="1:9" s="54" customFormat="1" ht="16.5" customHeight="1">
      <c r="A21" s="100"/>
      <c r="B21" s="100" t="s">
        <v>170</v>
      </c>
      <c r="C21" s="100"/>
      <c r="D21" s="151"/>
      <c r="E21" s="150"/>
      <c r="F21" s="77">
        <f>SUM(F9:F13)+SUM(F16:F20)</f>
        <v>3750000</v>
      </c>
      <c r="G21" s="150"/>
      <c r="H21" s="77">
        <f>SUM(H9:H13)+SUM(H16:H20)</f>
        <v>3750000</v>
      </c>
      <c r="I21" s="146"/>
    </row>
    <row r="22" spans="1:9" s="54" customFormat="1" ht="23.45" customHeight="1">
      <c r="A22" s="145"/>
      <c r="B22" s="145"/>
      <c r="C22" s="145"/>
      <c r="D22" s="145"/>
      <c r="E22" s="146"/>
      <c r="F22" s="146"/>
      <c r="G22" s="146"/>
      <c r="H22" s="146"/>
      <c r="I22" s="146"/>
    </row>
    <row r="23" spans="1:9" s="54" customFormat="1" ht="23.45" customHeight="1">
      <c r="A23" s="145"/>
      <c r="B23" s="145"/>
      <c r="C23" s="145"/>
      <c r="D23" s="145"/>
      <c r="E23" s="146"/>
      <c r="F23" s="146"/>
      <c r="G23" s="146"/>
      <c r="H23" s="146"/>
      <c r="I23" s="146"/>
    </row>
    <row r="24" spans="1:9" s="54" customFormat="1" ht="16.5" customHeight="1">
      <c r="A24" s="145"/>
      <c r="B24" s="145"/>
      <c r="C24" s="145"/>
      <c r="D24" s="66"/>
      <c r="E24" s="146"/>
      <c r="F24" s="146"/>
      <c r="G24" s="146"/>
      <c r="H24" s="146"/>
      <c r="I24" s="146"/>
    </row>
    <row r="25" spans="1:9" s="54" customFormat="1" ht="23.45" customHeight="1">
      <c r="A25" s="145"/>
      <c r="B25" s="145"/>
      <c r="C25" s="145"/>
      <c r="D25" s="145"/>
      <c r="E25" s="146"/>
      <c r="F25" s="146"/>
      <c r="G25" s="146"/>
      <c r="H25" s="146"/>
      <c r="I25" s="146"/>
    </row>
    <row r="26" spans="1:9" s="54" customFormat="1" ht="16.5" customHeight="1">
      <c r="A26" s="145"/>
      <c r="B26" s="145"/>
      <c r="C26" s="145"/>
      <c r="D26" s="66"/>
      <c r="E26" s="146"/>
      <c r="F26" s="146"/>
      <c r="G26" s="146"/>
      <c r="H26" s="146"/>
      <c r="I26" s="146"/>
    </row>
    <row r="27" spans="1:9" s="54" customFormat="1" ht="23.45" customHeight="1">
      <c r="A27" s="145"/>
      <c r="B27" s="145"/>
      <c r="C27" s="145"/>
      <c r="D27" s="145"/>
      <c r="E27" s="146"/>
      <c r="F27" s="146"/>
      <c r="G27" s="146"/>
      <c r="H27" s="146"/>
      <c r="I27" s="146"/>
    </row>
    <row r="28" spans="1:9" s="54" customFormat="1" ht="16.5" customHeight="1">
      <c r="A28" s="145"/>
      <c r="B28" s="145"/>
      <c r="C28" s="145"/>
      <c r="D28" s="66"/>
      <c r="E28" s="146"/>
      <c r="F28" s="146"/>
      <c r="G28" s="146"/>
      <c r="H28" s="146"/>
      <c r="I28" s="146"/>
    </row>
    <row r="29" spans="1:9" s="54" customFormat="1" ht="23.45" customHeight="1">
      <c r="A29" s="145"/>
      <c r="B29" s="145"/>
      <c r="C29" s="145"/>
      <c r="D29" s="145"/>
      <c r="E29" s="146"/>
      <c r="F29" s="146"/>
      <c r="G29" s="146"/>
      <c r="H29" s="146"/>
      <c r="I29" s="146"/>
    </row>
    <row r="30" spans="1:9" s="54" customFormat="1" ht="16.5" customHeight="1">
      <c r="A30" s="98"/>
      <c r="B30" s="98"/>
      <c r="C30" s="98"/>
      <c r="D30" s="138"/>
      <c r="E30" s="139"/>
      <c r="F30" s="139"/>
      <c r="G30" s="139"/>
      <c r="H30" s="139"/>
      <c r="I30" s="139"/>
    </row>
    <row r="31" spans="1:9" s="54" customFormat="1" ht="38.25" customHeight="1">
      <c r="A31" s="98"/>
      <c r="B31" s="98"/>
      <c r="C31" s="98"/>
      <c r="D31" s="98"/>
      <c r="E31" s="139"/>
      <c r="F31" s="139"/>
      <c r="G31" s="139"/>
      <c r="H31" s="139"/>
      <c r="I31" s="139"/>
    </row>
    <row r="32" spans="1:9" s="54" customFormat="1" ht="16.5" customHeight="1">
      <c r="A32" s="98"/>
      <c r="B32" s="98"/>
      <c r="C32" s="98"/>
      <c r="D32" s="138"/>
      <c r="E32" s="139"/>
      <c r="F32" s="139"/>
      <c r="G32" s="139"/>
      <c r="H32" s="139"/>
      <c r="I32" s="139"/>
    </row>
    <row r="33" spans="1:9" s="54" customFormat="1" ht="16.5" customHeight="1">
      <c r="A33" s="98"/>
      <c r="B33" s="98"/>
      <c r="C33" s="98"/>
      <c r="D33" s="98"/>
      <c r="E33" s="141"/>
      <c r="F33" s="141"/>
      <c r="G33" s="141"/>
      <c r="H33" s="139"/>
      <c r="I33" s="142"/>
    </row>
    <row r="34" spans="1:9">
      <c r="A34" s="98"/>
      <c r="B34" s="98"/>
      <c r="C34" s="98"/>
      <c r="D34" s="98"/>
      <c r="E34" s="98"/>
      <c r="F34" s="98"/>
      <c r="G34" s="98"/>
      <c r="H34" s="98"/>
      <c r="I34" s="98"/>
    </row>
    <row r="35" spans="1:9">
      <c r="A35" s="98"/>
      <c r="B35" s="98"/>
      <c r="C35" s="98"/>
      <c r="D35" s="98"/>
      <c r="E35" s="98"/>
      <c r="F35" s="98"/>
      <c r="G35" s="98"/>
      <c r="H35" s="98"/>
      <c r="I35" s="98"/>
    </row>
    <row r="36" spans="1:9">
      <c r="A36" s="98"/>
      <c r="B36" s="98"/>
      <c r="C36" s="98"/>
      <c r="D36" s="98"/>
      <c r="E36" s="98"/>
      <c r="F36" s="98"/>
      <c r="G36" s="98"/>
      <c r="H36" s="98"/>
      <c r="I36" s="98"/>
    </row>
    <row r="37" spans="1:9">
      <c r="A37" s="98"/>
      <c r="B37" s="98"/>
      <c r="C37" s="98"/>
      <c r="D37" s="98"/>
      <c r="E37" s="98"/>
      <c r="F37" s="98"/>
      <c r="G37" s="98"/>
      <c r="H37" s="98"/>
      <c r="I37" s="98"/>
    </row>
    <row r="38" spans="1:9">
      <c r="A38" s="98"/>
      <c r="B38" s="98"/>
      <c r="C38" s="98"/>
      <c r="D38" s="98"/>
      <c r="E38" s="98"/>
      <c r="F38" s="98"/>
      <c r="G38" s="98"/>
      <c r="H38" s="98"/>
      <c r="I38" s="98"/>
    </row>
    <row r="39" spans="1:9">
      <c r="A39" s="98"/>
      <c r="B39" s="98"/>
      <c r="C39" s="98"/>
      <c r="D39" s="98"/>
      <c r="E39" s="98"/>
      <c r="F39" s="98"/>
      <c r="G39" s="98"/>
      <c r="H39" s="98"/>
      <c r="I39" s="98"/>
    </row>
  </sheetData>
  <mergeCells count="3">
    <mergeCell ref="A2:I2"/>
    <mergeCell ref="G1:I1"/>
    <mergeCell ref="A3:I3"/>
  </mergeCells>
  <printOptions horizontalCentered="1"/>
  <pageMargins left="0.7" right="0.7" top="0.80972222222222201" bottom="0.75" header="0.511811023622047" footer="0.3"/>
  <pageSetup paperSize="9" scale="97" fitToHeight="0" orientation="landscape" horizontalDpi="300" verticalDpi="300" r:id="rId1"/>
  <headerFooter>
    <oddFooter>&amp;C&amp;A&amp;RPage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29"/>
  <sheetViews>
    <sheetView view="pageBreakPreview" zoomScale="85" zoomScaleNormal="115" zoomScalePageLayoutView="85" workbookViewId="0">
      <selection activeCell="C24" sqref="A5:I24"/>
    </sheetView>
  </sheetViews>
  <sheetFormatPr defaultColWidth="9" defaultRowHeight="12.75"/>
  <cols>
    <col min="1" max="1" width="5.7109375" style="37" customWidth="1"/>
    <col min="2" max="2" width="58" style="37" customWidth="1"/>
    <col min="3" max="3" width="8.5703125" style="37" customWidth="1"/>
    <col min="4" max="4" width="9.140625" style="37" customWidth="1"/>
    <col min="5" max="5" width="13.28515625" style="37" customWidth="1"/>
    <col min="6" max="6" width="17" style="37" customWidth="1"/>
    <col min="7" max="7" width="10.140625" style="37" customWidth="1"/>
    <col min="8" max="8" width="14.7109375" style="37" customWidth="1"/>
    <col min="9" max="9" width="33.5703125" style="37" customWidth="1"/>
    <col min="12" max="12" width="39.5703125" style="37" customWidth="1"/>
  </cols>
  <sheetData>
    <row r="1" spans="1:29" s="54" customFormat="1" ht="16.5" customHeight="1">
      <c r="A1" s="51"/>
      <c r="F1" s="51"/>
      <c r="G1" s="191"/>
      <c r="H1" s="197"/>
      <c r="I1" s="197"/>
      <c r="J1" s="2"/>
      <c r="O1" s="120"/>
      <c r="P1" s="120"/>
      <c r="Q1" s="120"/>
      <c r="R1" s="120"/>
      <c r="S1" s="120"/>
      <c r="T1" s="120"/>
      <c r="U1" s="120"/>
      <c r="V1" s="120"/>
      <c r="W1" s="120"/>
      <c r="X1" s="120"/>
      <c r="Y1" s="120"/>
      <c r="Z1" s="120"/>
      <c r="AA1" s="120"/>
      <c r="AB1" s="120"/>
      <c r="AC1" s="120"/>
    </row>
    <row r="2" spans="1:29" ht="18.75" customHeight="1">
      <c r="A2" s="167" t="s">
        <v>171</v>
      </c>
      <c r="B2" s="169"/>
      <c r="C2" s="169"/>
      <c r="D2" s="169"/>
      <c r="E2" s="169"/>
      <c r="F2" s="169"/>
      <c r="G2" s="169"/>
      <c r="H2" s="169"/>
      <c r="I2" s="169"/>
      <c r="J2" s="117"/>
    </row>
    <row r="3" spans="1:29" ht="16.5" customHeight="1">
      <c r="A3" s="167" t="s">
        <v>172</v>
      </c>
      <c r="B3" s="169"/>
      <c r="C3" s="169"/>
      <c r="D3" s="169"/>
      <c r="E3" s="169"/>
      <c r="F3" s="169"/>
      <c r="G3" s="169"/>
      <c r="H3" s="169"/>
      <c r="I3" s="169"/>
      <c r="J3" s="118"/>
    </row>
    <row r="4" spans="1:29" ht="16.5" customHeight="1">
      <c r="A4" s="121"/>
      <c r="B4" s="121"/>
      <c r="C4" s="121"/>
      <c r="D4" s="121"/>
      <c r="E4" s="121"/>
      <c r="F4" s="121"/>
      <c r="G4" s="121"/>
      <c r="H4" s="121"/>
      <c r="I4" s="121"/>
      <c r="J4" s="59"/>
    </row>
    <row r="5" spans="1:29" ht="16.5" customHeight="1">
      <c r="A5" s="30"/>
      <c r="B5" s="54"/>
      <c r="C5" s="54"/>
      <c r="D5" s="51"/>
      <c r="E5" s="51"/>
      <c r="F5" s="51"/>
      <c r="G5" s="51"/>
      <c r="I5" s="92" t="s">
        <v>40</v>
      </c>
      <c r="J5" s="122"/>
    </row>
    <row r="6" spans="1:29" s="123" customFormat="1" ht="83.25" customHeight="1">
      <c r="A6" s="62" t="s">
        <v>97</v>
      </c>
      <c r="B6" s="62" t="s">
        <v>98</v>
      </c>
      <c r="C6" s="62" t="s">
        <v>126</v>
      </c>
      <c r="D6" s="62" t="s">
        <v>100</v>
      </c>
      <c r="E6" s="62" t="s">
        <v>130</v>
      </c>
      <c r="F6" s="62" t="s">
        <v>131</v>
      </c>
      <c r="G6" s="62" t="s">
        <v>45</v>
      </c>
      <c r="H6" s="62" t="s">
        <v>46</v>
      </c>
      <c r="I6" s="62" t="s">
        <v>132</v>
      </c>
      <c r="J6" s="201"/>
      <c r="K6" s="202"/>
      <c r="L6" s="202"/>
      <c r="M6" s="202"/>
    </row>
    <row r="7" spans="1:29" s="103" customFormat="1" ht="18" customHeight="1">
      <c r="A7" s="104" t="s">
        <v>48</v>
      </c>
      <c r="B7" s="105" t="s">
        <v>49</v>
      </c>
      <c r="C7" s="104" t="s">
        <v>50</v>
      </c>
      <c r="D7" s="106" t="s">
        <v>51</v>
      </c>
      <c r="E7" s="106" t="s">
        <v>52</v>
      </c>
      <c r="F7" s="106" t="s">
        <v>153</v>
      </c>
      <c r="G7" s="106" t="s">
        <v>54</v>
      </c>
      <c r="H7" s="106" t="s">
        <v>154</v>
      </c>
      <c r="I7" s="106" t="s">
        <v>135</v>
      </c>
    </row>
    <row r="8" spans="1:29" s="54" customFormat="1" ht="23.45" customHeight="1">
      <c r="A8" s="67">
        <v>1</v>
      </c>
      <c r="B8" s="98" t="s">
        <v>173</v>
      </c>
      <c r="C8" s="65" t="s">
        <v>174</v>
      </c>
      <c r="D8" s="67">
        <v>1</v>
      </c>
      <c r="E8" s="68">
        <v>600000</v>
      </c>
      <c r="F8" s="68">
        <f t="shared" ref="F8:F13" si="0">D8*E8</f>
        <v>600000</v>
      </c>
      <c r="G8" s="68">
        <v>0</v>
      </c>
      <c r="H8" s="68">
        <f t="shared" ref="H8:H13" si="1">F8+G8</f>
        <v>600000</v>
      </c>
      <c r="I8" s="146"/>
      <c r="M8" s="120"/>
      <c r="N8" s="120"/>
      <c r="O8" s="120"/>
      <c r="P8" s="120"/>
      <c r="Q8" s="120"/>
      <c r="R8" s="120"/>
      <c r="S8" s="120"/>
      <c r="T8" s="120"/>
      <c r="U8" s="120"/>
      <c r="V8" s="120"/>
      <c r="W8" s="120"/>
      <c r="X8" s="120"/>
      <c r="Y8" s="120"/>
      <c r="Z8" s="120"/>
      <c r="AA8" s="120"/>
    </row>
    <row r="9" spans="1:29" s="124" customFormat="1" ht="32.25" customHeight="1">
      <c r="A9" s="67">
        <v>2</v>
      </c>
      <c r="B9" s="98" t="s">
        <v>175</v>
      </c>
      <c r="C9" s="65" t="s">
        <v>174</v>
      </c>
      <c r="D9" s="67">
        <v>1</v>
      </c>
      <c r="E9" s="68">
        <v>200000</v>
      </c>
      <c r="F9" s="68">
        <f t="shared" si="0"/>
        <v>200000</v>
      </c>
      <c r="G9" s="68">
        <v>0</v>
      </c>
      <c r="H9" s="66">
        <f t="shared" si="1"/>
        <v>200000</v>
      </c>
      <c r="I9" s="145"/>
      <c r="J9" s="125"/>
    </row>
    <row r="10" spans="1:29" s="121" customFormat="1" ht="17.25" customHeight="1">
      <c r="A10" s="67">
        <v>3</v>
      </c>
      <c r="B10" s="98" t="s">
        <v>176</v>
      </c>
      <c r="C10" s="65" t="s">
        <v>174</v>
      </c>
      <c r="D10" s="67">
        <v>2</v>
      </c>
      <c r="E10" s="68">
        <v>100000</v>
      </c>
      <c r="F10" s="68">
        <f t="shared" si="0"/>
        <v>200000</v>
      </c>
      <c r="G10" s="68">
        <v>0</v>
      </c>
      <c r="H10" s="66">
        <f t="shared" si="1"/>
        <v>200000</v>
      </c>
      <c r="I10" s="145"/>
      <c r="J10" s="54"/>
    </row>
    <row r="11" spans="1:29" s="124" customFormat="1" ht="32.25" customHeight="1">
      <c r="A11" s="67">
        <v>4</v>
      </c>
      <c r="B11" s="98" t="s">
        <v>177</v>
      </c>
      <c r="C11" s="65" t="s">
        <v>178</v>
      </c>
      <c r="D11" s="67">
        <v>6</v>
      </c>
      <c r="E11" s="68">
        <v>30000</v>
      </c>
      <c r="F11" s="68">
        <f t="shared" si="0"/>
        <v>180000</v>
      </c>
      <c r="G11" s="68">
        <v>0</v>
      </c>
      <c r="H11" s="66">
        <f t="shared" si="1"/>
        <v>180000</v>
      </c>
      <c r="I11" s="145"/>
      <c r="J11" s="125"/>
    </row>
    <row r="12" spans="1:29" s="121" customFormat="1" ht="17.25" customHeight="1">
      <c r="A12" s="67">
        <v>5</v>
      </c>
      <c r="B12" s="98" t="s">
        <v>179</v>
      </c>
      <c r="C12" s="65" t="s">
        <v>147</v>
      </c>
      <c r="D12" s="67">
        <v>4</v>
      </c>
      <c r="E12" s="68">
        <v>50000</v>
      </c>
      <c r="F12" s="68">
        <f t="shared" si="0"/>
        <v>200000</v>
      </c>
      <c r="G12" s="68">
        <v>0</v>
      </c>
      <c r="H12" s="66">
        <f t="shared" si="1"/>
        <v>200000</v>
      </c>
      <c r="I12" s="145"/>
      <c r="J12" s="54"/>
    </row>
    <row r="13" spans="1:29" s="124" customFormat="1" ht="32.25" customHeight="1">
      <c r="A13" s="67">
        <v>6</v>
      </c>
      <c r="B13" s="98" t="s">
        <v>180</v>
      </c>
      <c r="C13" s="65" t="s">
        <v>174</v>
      </c>
      <c r="D13" s="67">
        <v>1</v>
      </c>
      <c r="E13" s="68">
        <v>120000</v>
      </c>
      <c r="F13" s="68">
        <f t="shared" si="0"/>
        <v>120000</v>
      </c>
      <c r="G13" s="68">
        <v>0</v>
      </c>
      <c r="H13" s="66">
        <f t="shared" si="1"/>
        <v>120000</v>
      </c>
      <c r="I13" s="145"/>
      <c r="J13" s="125"/>
    </row>
    <row r="14" spans="1:29" s="121" customFormat="1" ht="17.25" customHeight="1">
      <c r="A14" s="100"/>
      <c r="B14" s="100" t="s">
        <v>88</v>
      </c>
      <c r="C14" s="100"/>
      <c r="D14" s="100"/>
      <c r="E14" s="150"/>
      <c r="F14" s="77">
        <f>SUM(F8:F13)</f>
        <v>1500000</v>
      </c>
      <c r="G14" s="150"/>
      <c r="H14" s="85">
        <f>SUM(H8:H13)</f>
        <v>1500000</v>
      </c>
      <c r="I14" s="145"/>
      <c r="J14" s="54"/>
    </row>
    <row r="15" spans="1:29" s="124" customFormat="1" ht="32.25" customHeight="1">
      <c r="A15" s="145"/>
      <c r="B15" s="145"/>
      <c r="C15" s="145"/>
      <c r="D15" s="145"/>
      <c r="E15" s="146"/>
      <c r="F15" s="146"/>
      <c r="G15" s="146"/>
      <c r="H15" s="66"/>
      <c r="I15" s="145"/>
      <c r="J15" s="125"/>
    </row>
    <row r="16" spans="1:29" s="121" customFormat="1" ht="17.25" customHeight="1">
      <c r="A16" s="145"/>
      <c r="B16" s="145"/>
      <c r="C16" s="145"/>
      <c r="D16" s="145"/>
      <c r="E16" s="146"/>
      <c r="F16" s="146"/>
      <c r="G16" s="146"/>
      <c r="H16" s="66"/>
      <c r="I16" s="145"/>
      <c r="J16" s="54"/>
    </row>
    <row r="17" spans="1:27" s="54" customFormat="1" ht="23.45" customHeight="1">
      <c r="A17" s="145"/>
      <c r="B17" s="145"/>
      <c r="C17" s="145"/>
      <c r="D17" s="145"/>
      <c r="E17" s="146"/>
      <c r="F17" s="146"/>
      <c r="G17" s="146"/>
      <c r="H17" s="146"/>
      <c r="I17" s="146"/>
      <c r="M17" s="120"/>
      <c r="N17" s="120"/>
      <c r="O17" s="120"/>
      <c r="P17" s="120"/>
      <c r="Q17" s="120"/>
      <c r="R17" s="120"/>
      <c r="S17" s="120"/>
      <c r="T17" s="120"/>
      <c r="U17" s="120"/>
      <c r="V17" s="120"/>
      <c r="W17" s="120"/>
      <c r="X17" s="120"/>
      <c r="Y17" s="120"/>
      <c r="Z17" s="120"/>
      <c r="AA17" s="120"/>
    </row>
    <row r="18" spans="1:27" s="121" customFormat="1" ht="17.25" customHeight="1">
      <c r="A18" s="145"/>
      <c r="B18" s="145"/>
      <c r="C18" s="145"/>
      <c r="D18" s="145"/>
      <c r="E18" s="146"/>
      <c r="F18" s="146"/>
      <c r="G18" s="146"/>
      <c r="H18" s="66"/>
      <c r="I18" s="145"/>
      <c r="J18" s="54"/>
    </row>
    <row r="19" spans="1:27" s="54" customFormat="1" ht="23.45" customHeight="1">
      <c r="A19" s="145"/>
      <c r="B19" s="145"/>
      <c r="C19" s="145"/>
      <c r="D19" s="145"/>
      <c r="E19" s="146"/>
      <c r="F19" s="146"/>
      <c r="G19" s="146"/>
      <c r="H19" s="146"/>
      <c r="I19" s="146"/>
      <c r="M19" s="120"/>
      <c r="N19" s="120"/>
      <c r="O19" s="120"/>
      <c r="P19" s="120"/>
      <c r="Q19" s="120"/>
      <c r="R19" s="120"/>
      <c r="S19" s="120"/>
      <c r="T19" s="120"/>
      <c r="U19" s="120"/>
      <c r="V19" s="120"/>
      <c r="W19" s="120"/>
      <c r="X19" s="120"/>
      <c r="Y19" s="120"/>
      <c r="Z19" s="120"/>
      <c r="AA19" s="120"/>
    </row>
    <row r="20" spans="1:27" s="121" customFormat="1" ht="17.25" customHeight="1">
      <c r="A20" s="98"/>
      <c r="B20" s="98"/>
      <c r="C20" s="98"/>
      <c r="D20" s="98"/>
      <c r="E20" s="139"/>
      <c r="F20" s="139"/>
      <c r="G20" s="139"/>
      <c r="H20" s="138"/>
      <c r="I20" s="98"/>
      <c r="J20" s="54"/>
    </row>
    <row r="21" spans="1:27" s="54" customFormat="1" ht="23.45" customHeight="1">
      <c r="A21" s="98"/>
      <c r="B21" s="98"/>
      <c r="C21" s="98"/>
      <c r="D21" s="98"/>
      <c r="E21" s="139"/>
      <c r="F21" s="139"/>
      <c r="G21" s="139"/>
      <c r="H21" s="139"/>
      <c r="I21" s="139"/>
      <c r="M21" s="120"/>
      <c r="N21" s="120"/>
      <c r="O21" s="120"/>
      <c r="P21" s="120"/>
      <c r="Q21" s="120"/>
      <c r="R21" s="120"/>
      <c r="S21" s="120"/>
      <c r="T21" s="120"/>
      <c r="U21" s="120"/>
      <c r="V21" s="120"/>
      <c r="W21" s="120"/>
      <c r="X21" s="120"/>
      <c r="Y21" s="120"/>
      <c r="Z21" s="120"/>
      <c r="AA21" s="120"/>
    </row>
    <row r="22" spans="1:27" s="121" customFormat="1" ht="17.25" customHeight="1">
      <c r="A22" s="98"/>
      <c r="B22" s="98"/>
      <c r="C22" s="98"/>
      <c r="D22" s="98"/>
      <c r="E22" s="139"/>
      <c r="F22" s="139"/>
      <c r="G22" s="139"/>
      <c r="H22" s="138"/>
      <c r="I22" s="98"/>
      <c r="J22" s="54"/>
    </row>
    <row r="23" spans="1:27" s="54" customFormat="1" ht="23.45" customHeight="1">
      <c r="A23" s="98"/>
      <c r="B23" s="98"/>
      <c r="C23" s="98"/>
      <c r="D23" s="98"/>
      <c r="E23" s="139"/>
      <c r="F23" s="139"/>
      <c r="G23" s="139"/>
      <c r="H23" s="139"/>
      <c r="I23" s="139"/>
      <c r="M23" s="120"/>
      <c r="N23" s="120"/>
      <c r="O23" s="120"/>
      <c r="P23" s="120"/>
      <c r="Q23" s="120"/>
      <c r="R23" s="120"/>
      <c r="S23" s="120"/>
      <c r="T23" s="120"/>
      <c r="U23" s="120"/>
      <c r="V23" s="120"/>
      <c r="W23" s="120"/>
      <c r="X23" s="120"/>
      <c r="Y23" s="120"/>
      <c r="Z23" s="120"/>
      <c r="AA23" s="120"/>
    </row>
    <row r="24" spans="1:27" s="121" customFormat="1" ht="17.25" customHeight="1">
      <c r="A24" s="98"/>
      <c r="B24" s="98"/>
      <c r="C24" s="98"/>
      <c r="D24" s="98"/>
      <c r="E24" s="139"/>
      <c r="F24" s="139"/>
      <c r="G24" s="139"/>
      <c r="H24" s="138"/>
      <c r="I24" s="98"/>
      <c r="J24" s="54"/>
    </row>
    <row r="25" spans="1:27" s="121" customFormat="1" ht="17.25" customHeight="1">
      <c r="A25" s="98"/>
      <c r="B25" s="98"/>
      <c r="C25" s="98"/>
      <c r="D25" s="98"/>
      <c r="E25" s="139"/>
      <c r="F25" s="139"/>
      <c r="G25" s="139"/>
      <c r="H25" s="138"/>
      <c r="I25" s="98"/>
      <c r="J25" s="54"/>
    </row>
    <row r="26" spans="1:27" s="121" customFormat="1" ht="16.5" customHeight="1">
      <c r="A26" s="98"/>
      <c r="B26" s="98"/>
      <c r="C26" s="98"/>
      <c r="D26" s="98"/>
      <c r="E26" s="143"/>
      <c r="F26" s="143"/>
      <c r="G26" s="143"/>
      <c r="H26" s="139"/>
      <c r="I26" s="142"/>
      <c r="J26" s="54"/>
    </row>
    <row r="27" spans="1:27">
      <c r="A27" s="98"/>
      <c r="B27" s="98"/>
      <c r="C27" s="98"/>
      <c r="D27" s="98"/>
      <c r="E27" s="98"/>
      <c r="F27" s="98"/>
      <c r="G27" s="98"/>
      <c r="H27" s="98"/>
      <c r="I27" s="98"/>
    </row>
    <row r="28" spans="1:27">
      <c r="A28" s="98"/>
      <c r="B28" s="98"/>
      <c r="C28" s="98"/>
      <c r="D28" s="98"/>
      <c r="E28" s="98"/>
      <c r="F28" s="98"/>
      <c r="G28" s="98"/>
      <c r="H28" s="98"/>
      <c r="I28" s="98"/>
    </row>
    <row r="29" spans="1:27">
      <c r="A29" s="98"/>
      <c r="B29" s="98"/>
      <c r="C29" s="98"/>
      <c r="D29" s="98"/>
      <c r="E29" s="98"/>
      <c r="F29" s="98"/>
      <c r="G29" s="98"/>
      <c r="H29" s="98"/>
      <c r="I29" s="98"/>
    </row>
  </sheetData>
  <mergeCells count="4">
    <mergeCell ref="A2:I2"/>
    <mergeCell ref="G1:I1"/>
    <mergeCell ref="J6:M6"/>
    <mergeCell ref="A3:I3"/>
  </mergeCells>
  <printOptions horizontalCentered="1"/>
  <pageMargins left="0.55000000000000004" right="0.7" top="0.82013888888888897" bottom="0.75" header="0.511811023622047" footer="0.3"/>
  <pageSetup paperSize="9" scale="80" fitToHeight="0" orientation="landscape" horizontalDpi="300" verticalDpi="300" r:id="rId1"/>
  <headerFooter>
    <oddFooter>&amp;C&amp;A&amp;RPage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W51"/>
  <sheetViews>
    <sheetView view="pageBreakPreview" zoomScaleNormal="100" workbookViewId="0">
      <selection activeCell="D23" sqref="A5:I32"/>
    </sheetView>
  </sheetViews>
  <sheetFormatPr defaultColWidth="9.140625" defaultRowHeight="12.75"/>
  <cols>
    <col min="1" max="1" width="5.85546875" style="49" customWidth="1"/>
    <col min="2" max="2" width="42.7109375" style="126" customWidth="1"/>
    <col min="3" max="3" width="9.140625" style="2" customWidth="1"/>
    <col min="4" max="4" width="11.7109375" style="49" customWidth="1"/>
    <col min="5" max="5" width="9.5703125" style="49" customWidth="1"/>
    <col min="6" max="6" width="13.28515625" style="49" customWidth="1"/>
    <col min="7" max="7" width="10.5703125" style="49" customWidth="1"/>
    <col min="8" max="8" width="16.28515625" style="49" customWidth="1"/>
    <col min="9" max="9" width="24.42578125" style="89" customWidth="1"/>
    <col min="10" max="10" width="10.85546875" style="2" customWidth="1"/>
    <col min="11" max="11" width="11.42578125" style="2" customWidth="1"/>
    <col min="12" max="12" width="12.5703125" style="2" customWidth="1"/>
    <col min="13" max="13" width="17.5703125" style="90" customWidth="1"/>
    <col min="14" max="14" width="9.140625" style="90" customWidth="1"/>
    <col min="15" max="15" width="20.140625" style="90" customWidth="1"/>
    <col min="16" max="16" width="15.85546875" style="90" customWidth="1"/>
    <col min="17" max="17" width="14.42578125" style="90" customWidth="1"/>
    <col min="18" max="18" width="11" style="90" customWidth="1"/>
    <col min="19" max="27" width="9.140625" style="90" customWidth="1"/>
    <col min="28" max="257" width="9.140625" style="2" customWidth="1"/>
  </cols>
  <sheetData>
    <row r="1" spans="1:29" s="54" customFormat="1" ht="16.5" customHeight="1">
      <c r="A1" s="51"/>
      <c r="F1" s="51"/>
      <c r="G1" s="191"/>
      <c r="H1" s="197"/>
      <c r="I1" s="197"/>
      <c r="J1" s="2"/>
      <c r="O1" s="120"/>
      <c r="P1" s="120"/>
      <c r="Q1" s="120"/>
      <c r="R1" s="120"/>
      <c r="S1" s="120"/>
      <c r="T1" s="120"/>
      <c r="U1" s="120"/>
      <c r="V1" s="120"/>
      <c r="W1" s="120"/>
      <c r="X1" s="120"/>
      <c r="Y1" s="120"/>
      <c r="Z1" s="120"/>
      <c r="AA1" s="120"/>
      <c r="AB1" s="120"/>
      <c r="AC1" s="120"/>
    </row>
    <row r="2" spans="1:29" s="52" customFormat="1" ht="20.25" customHeight="1">
      <c r="A2" s="167" t="s">
        <v>181</v>
      </c>
      <c r="B2" s="186"/>
      <c r="C2" s="186"/>
      <c r="D2" s="186"/>
      <c r="E2" s="186"/>
      <c r="F2" s="186"/>
      <c r="G2" s="186"/>
      <c r="H2" s="186"/>
      <c r="I2" s="186"/>
      <c r="J2" s="117"/>
      <c r="M2" s="91"/>
      <c r="N2" s="91"/>
      <c r="O2" s="91"/>
      <c r="P2" s="91"/>
      <c r="Q2" s="91"/>
      <c r="R2" s="91"/>
      <c r="S2" s="91"/>
      <c r="T2" s="91"/>
      <c r="U2" s="91"/>
      <c r="V2" s="91"/>
      <c r="W2" s="91"/>
      <c r="X2" s="91"/>
      <c r="Y2" s="91"/>
      <c r="Z2" s="91"/>
      <c r="AA2" s="91"/>
    </row>
    <row r="3" spans="1:29" s="52" customFormat="1" ht="18" customHeight="1">
      <c r="A3" s="200" t="s">
        <v>182</v>
      </c>
      <c r="B3" s="186"/>
      <c r="C3" s="186"/>
      <c r="D3" s="186"/>
      <c r="E3" s="186"/>
      <c r="F3" s="186"/>
      <c r="G3" s="186"/>
      <c r="H3" s="186"/>
      <c r="I3" s="186"/>
      <c r="J3" s="118"/>
      <c r="M3" s="91"/>
      <c r="N3" s="91"/>
      <c r="O3" s="91"/>
      <c r="P3" s="91"/>
      <c r="Q3" s="91"/>
      <c r="R3" s="91"/>
      <c r="S3" s="91"/>
      <c r="T3" s="91"/>
      <c r="U3" s="91"/>
      <c r="V3" s="91"/>
      <c r="W3" s="91"/>
      <c r="X3" s="91"/>
      <c r="Y3" s="91"/>
      <c r="Z3" s="91"/>
      <c r="AA3" s="91"/>
    </row>
    <row r="4" spans="1:29" s="52" customFormat="1" ht="17.25" customHeight="1">
      <c r="A4" s="127"/>
      <c r="B4" s="119"/>
      <c r="C4" s="51"/>
      <c r="D4" s="101"/>
      <c r="E4" s="101"/>
      <c r="F4" s="101"/>
      <c r="G4" s="101"/>
      <c r="H4" s="101"/>
      <c r="I4" s="54"/>
      <c r="M4" s="91"/>
      <c r="N4" s="91"/>
      <c r="O4" s="91"/>
      <c r="P4" s="91"/>
      <c r="Q4" s="91"/>
      <c r="R4" s="91"/>
      <c r="S4" s="91"/>
      <c r="T4" s="91"/>
      <c r="U4" s="91"/>
      <c r="V4" s="91"/>
      <c r="W4" s="91"/>
      <c r="X4" s="91"/>
      <c r="Y4" s="91"/>
      <c r="Z4" s="91"/>
      <c r="AA4" s="91"/>
    </row>
    <row r="5" spans="1:29" ht="13.5" customHeight="1">
      <c r="A5" s="30"/>
      <c r="B5" s="119"/>
      <c r="C5" s="54"/>
      <c r="D5" s="51"/>
      <c r="E5" s="51"/>
      <c r="F5" s="51"/>
      <c r="G5" s="51"/>
      <c r="H5" s="60"/>
      <c r="I5" s="92" t="s">
        <v>40</v>
      </c>
      <c r="J5" s="52"/>
    </row>
    <row r="6" spans="1:29" s="54" customFormat="1" ht="79.5" customHeight="1">
      <c r="A6" s="61" t="s">
        <v>97</v>
      </c>
      <c r="B6" s="62" t="s">
        <v>98</v>
      </c>
      <c r="C6" s="61" t="s">
        <v>126</v>
      </c>
      <c r="D6" s="61" t="s">
        <v>100</v>
      </c>
      <c r="E6" s="61" t="s">
        <v>130</v>
      </c>
      <c r="F6" s="62" t="s">
        <v>131</v>
      </c>
      <c r="G6" s="62" t="s">
        <v>45</v>
      </c>
      <c r="H6" s="62" t="s">
        <v>46</v>
      </c>
      <c r="I6" s="62" t="s">
        <v>132</v>
      </c>
      <c r="J6" s="30"/>
      <c r="M6" s="120"/>
      <c r="N6" s="120"/>
      <c r="O6" s="120"/>
      <c r="P6" s="120"/>
      <c r="Q6" s="120"/>
      <c r="R6" s="120"/>
      <c r="S6" s="120"/>
      <c r="T6" s="120"/>
      <c r="U6" s="120"/>
      <c r="V6" s="120"/>
      <c r="W6" s="120"/>
      <c r="X6" s="120"/>
      <c r="Y6" s="120"/>
      <c r="Z6" s="120"/>
      <c r="AA6" s="120"/>
    </row>
    <row r="7" spans="1:29" s="103" customFormat="1" ht="12.75" customHeight="1">
      <c r="A7" s="104" t="s">
        <v>48</v>
      </c>
      <c r="B7" s="105" t="s">
        <v>49</v>
      </c>
      <c r="C7" s="104" t="s">
        <v>50</v>
      </c>
      <c r="D7" s="106" t="s">
        <v>51</v>
      </c>
      <c r="E7" s="106" t="s">
        <v>52</v>
      </c>
      <c r="F7" s="106" t="s">
        <v>153</v>
      </c>
      <c r="G7" s="106" t="s">
        <v>54</v>
      </c>
      <c r="H7" s="106" t="s">
        <v>154</v>
      </c>
      <c r="I7" s="106" t="s">
        <v>135</v>
      </c>
    </row>
    <row r="8" spans="1:29" s="124" customFormat="1" ht="16.5" customHeight="1">
      <c r="A8" s="67">
        <v>1</v>
      </c>
      <c r="B8" s="98" t="s">
        <v>183</v>
      </c>
      <c r="C8" s="65" t="s">
        <v>174</v>
      </c>
      <c r="D8" s="67">
        <v>1</v>
      </c>
      <c r="E8" s="68">
        <v>80000</v>
      </c>
      <c r="F8" s="68">
        <f t="shared" ref="F8:F15" si="0">D8*E8</f>
        <v>80000</v>
      </c>
      <c r="G8" s="68">
        <v>0</v>
      </c>
      <c r="H8" s="66">
        <f t="shared" ref="H8:H15" si="1">F8+G8</f>
        <v>80000</v>
      </c>
      <c r="I8" s="145"/>
      <c r="J8" s="125"/>
    </row>
    <row r="9" spans="1:29" s="54" customFormat="1" ht="19.5" customHeight="1">
      <c r="A9" s="67">
        <v>2</v>
      </c>
      <c r="B9" s="98" t="s">
        <v>184</v>
      </c>
      <c r="C9" s="65" t="s">
        <v>185</v>
      </c>
      <c r="D9" s="67">
        <v>10</v>
      </c>
      <c r="E9" s="68">
        <v>20000</v>
      </c>
      <c r="F9" s="68">
        <f t="shared" si="0"/>
        <v>200000</v>
      </c>
      <c r="G9" s="68">
        <v>0</v>
      </c>
      <c r="H9" s="68">
        <f t="shared" si="1"/>
        <v>200000</v>
      </c>
      <c r="I9" s="145"/>
      <c r="M9" s="120"/>
      <c r="N9" s="120"/>
      <c r="O9" s="120"/>
      <c r="P9" s="120"/>
      <c r="Q9" s="120"/>
      <c r="R9" s="120"/>
      <c r="S9" s="120"/>
      <c r="T9" s="120"/>
      <c r="U9" s="120"/>
      <c r="V9" s="120"/>
      <c r="W9" s="120"/>
      <c r="X9" s="120"/>
      <c r="Y9" s="120"/>
      <c r="Z9" s="120"/>
      <c r="AA9" s="120"/>
    </row>
    <row r="10" spans="1:29" s="124" customFormat="1" ht="16.5" customHeight="1">
      <c r="A10" s="67">
        <v>3</v>
      </c>
      <c r="B10" s="98" t="s">
        <v>186</v>
      </c>
      <c r="C10" s="65" t="s">
        <v>187</v>
      </c>
      <c r="D10" s="67">
        <v>4</v>
      </c>
      <c r="E10" s="68">
        <v>30000</v>
      </c>
      <c r="F10" s="68">
        <f t="shared" si="0"/>
        <v>120000</v>
      </c>
      <c r="G10" s="68">
        <v>0</v>
      </c>
      <c r="H10" s="66">
        <f t="shared" si="1"/>
        <v>120000</v>
      </c>
      <c r="I10" s="145"/>
      <c r="J10" s="125"/>
    </row>
    <row r="11" spans="1:29" s="54" customFormat="1" ht="19.5" customHeight="1">
      <c r="A11" s="67">
        <v>4</v>
      </c>
      <c r="B11" s="98" t="s">
        <v>188</v>
      </c>
      <c r="C11" s="65" t="s">
        <v>178</v>
      </c>
      <c r="D11" s="67">
        <v>18</v>
      </c>
      <c r="E11" s="68">
        <v>5000</v>
      </c>
      <c r="F11" s="68">
        <f t="shared" si="0"/>
        <v>90000</v>
      </c>
      <c r="G11" s="68">
        <v>0</v>
      </c>
      <c r="H11" s="68">
        <f t="shared" si="1"/>
        <v>90000</v>
      </c>
      <c r="I11" s="145"/>
      <c r="M11" s="120"/>
      <c r="N11" s="120"/>
      <c r="O11" s="120"/>
      <c r="P11" s="120"/>
      <c r="Q11" s="120"/>
      <c r="R11" s="120"/>
      <c r="S11" s="120"/>
      <c r="T11" s="120"/>
      <c r="U11" s="120"/>
      <c r="V11" s="120"/>
      <c r="W11" s="120"/>
      <c r="X11" s="120"/>
      <c r="Y11" s="120"/>
      <c r="Z11" s="120"/>
      <c r="AA11" s="120"/>
    </row>
    <row r="12" spans="1:29" s="109" customFormat="1" ht="16.5" customHeight="1">
      <c r="A12" s="67">
        <v>5</v>
      </c>
      <c r="B12" s="98" t="s">
        <v>189</v>
      </c>
      <c r="C12" s="65" t="s">
        <v>178</v>
      </c>
      <c r="D12" s="67">
        <v>18</v>
      </c>
      <c r="E12" s="68">
        <v>4000</v>
      </c>
      <c r="F12" s="68">
        <f t="shared" si="0"/>
        <v>72000</v>
      </c>
      <c r="G12" s="68">
        <v>0</v>
      </c>
      <c r="H12" s="66">
        <f t="shared" si="1"/>
        <v>72000</v>
      </c>
      <c r="I12" s="145"/>
      <c r="J12" s="107"/>
    </row>
    <row r="13" spans="1:29" s="54" customFormat="1" ht="19.5" customHeight="1">
      <c r="A13" s="67">
        <v>6</v>
      </c>
      <c r="B13" s="98" t="s">
        <v>190</v>
      </c>
      <c r="C13" s="65" t="s">
        <v>178</v>
      </c>
      <c r="D13" s="67">
        <v>18</v>
      </c>
      <c r="E13" s="68">
        <v>8000</v>
      </c>
      <c r="F13" s="68">
        <f t="shared" si="0"/>
        <v>144000</v>
      </c>
      <c r="G13" s="68">
        <v>0</v>
      </c>
      <c r="H13" s="68">
        <f t="shared" si="1"/>
        <v>144000</v>
      </c>
      <c r="I13" s="145"/>
      <c r="M13" s="120"/>
      <c r="N13" s="120"/>
      <c r="O13" s="120"/>
      <c r="P13" s="120"/>
      <c r="Q13" s="120"/>
      <c r="R13" s="120"/>
      <c r="S13" s="120"/>
      <c r="T13" s="120"/>
      <c r="U13" s="120"/>
      <c r="V13" s="120"/>
      <c r="W13" s="120"/>
      <c r="X13" s="120"/>
      <c r="Y13" s="120"/>
      <c r="Z13" s="120"/>
      <c r="AA13" s="120"/>
    </row>
    <row r="14" spans="1:29" s="109" customFormat="1" ht="37.5" customHeight="1">
      <c r="A14" s="67">
        <v>7</v>
      </c>
      <c r="B14" s="98" t="s">
        <v>191</v>
      </c>
      <c r="C14" s="65" t="s">
        <v>174</v>
      </c>
      <c r="D14" s="67">
        <v>2</v>
      </c>
      <c r="E14" s="68">
        <v>20000</v>
      </c>
      <c r="F14" s="68">
        <f t="shared" si="0"/>
        <v>40000</v>
      </c>
      <c r="G14" s="68">
        <v>0</v>
      </c>
      <c r="H14" s="66">
        <f t="shared" si="1"/>
        <v>40000</v>
      </c>
      <c r="I14" s="145"/>
      <c r="J14" s="107"/>
    </row>
    <row r="15" spans="1:29" s="54" customFormat="1" ht="19.5" customHeight="1">
      <c r="A15" s="67">
        <v>8</v>
      </c>
      <c r="B15" s="98" t="s">
        <v>192</v>
      </c>
      <c r="C15" s="65" t="s">
        <v>174</v>
      </c>
      <c r="D15" s="67">
        <v>1</v>
      </c>
      <c r="E15" s="68">
        <v>4000</v>
      </c>
      <c r="F15" s="68">
        <f t="shared" si="0"/>
        <v>4000</v>
      </c>
      <c r="G15" s="68">
        <v>0</v>
      </c>
      <c r="H15" s="68">
        <f t="shared" si="1"/>
        <v>4000</v>
      </c>
      <c r="I15" s="145"/>
      <c r="M15" s="120"/>
      <c r="N15" s="120"/>
      <c r="O15" s="120"/>
      <c r="P15" s="120"/>
      <c r="Q15" s="120"/>
      <c r="R15" s="120"/>
      <c r="S15" s="120"/>
      <c r="T15" s="120"/>
      <c r="U15" s="120"/>
      <c r="V15" s="120"/>
      <c r="W15" s="120"/>
      <c r="X15" s="120"/>
      <c r="Y15" s="120"/>
      <c r="Z15" s="120"/>
      <c r="AA15" s="120"/>
    </row>
    <row r="16" spans="1:29" s="109" customFormat="1" ht="37.5" customHeight="1">
      <c r="A16" s="100"/>
      <c r="B16" s="100" t="s">
        <v>88</v>
      </c>
      <c r="C16" s="100"/>
      <c r="D16" s="100"/>
      <c r="E16" s="150"/>
      <c r="F16" s="77">
        <f>SUM(F8:F15)</f>
        <v>750000</v>
      </c>
      <c r="G16" s="150"/>
      <c r="H16" s="85">
        <f>SUM(H8:H15)</f>
        <v>750000</v>
      </c>
      <c r="I16" s="145"/>
      <c r="J16" s="107"/>
    </row>
    <row r="17" spans="1:27" s="54" customFormat="1" ht="19.5" customHeight="1">
      <c r="A17" s="145"/>
      <c r="B17" s="145"/>
      <c r="C17" s="145"/>
      <c r="D17" s="66"/>
      <c r="E17" s="146"/>
      <c r="F17" s="146"/>
      <c r="G17" s="146"/>
      <c r="H17" s="146"/>
      <c r="I17" s="145"/>
      <c r="M17" s="120"/>
      <c r="N17" s="120"/>
      <c r="O17" s="120"/>
      <c r="P17" s="120"/>
      <c r="Q17" s="120"/>
      <c r="R17" s="120"/>
      <c r="S17" s="120"/>
      <c r="T17" s="120"/>
      <c r="U17" s="120"/>
      <c r="V17" s="120"/>
      <c r="W17" s="120"/>
      <c r="X17" s="120"/>
      <c r="Y17" s="120"/>
      <c r="Z17" s="120"/>
      <c r="AA17" s="120"/>
    </row>
    <row r="18" spans="1:27" s="109" customFormat="1" ht="37.5" customHeight="1">
      <c r="A18" s="145"/>
      <c r="B18" s="145"/>
      <c r="C18" s="145"/>
      <c r="D18" s="145"/>
      <c r="E18" s="146"/>
      <c r="F18" s="146"/>
      <c r="G18" s="146"/>
      <c r="H18" s="66"/>
      <c r="I18" s="145"/>
      <c r="J18" s="107"/>
    </row>
    <row r="19" spans="1:27" s="54" customFormat="1" ht="19.5" customHeight="1">
      <c r="A19" s="145"/>
      <c r="B19" s="145"/>
      <c r="C19" s="145"/>
      <c r="D19" s="66"/>
      <c r="E19" s="146"/>
      <c r="F19" s="146"/>
      <c r="G19" s="146"/>
      <c r="H19" s="146"/>
      <c r="I19" s="145"/>
      <c r="M19" s="120"/>
      <c r="N19" s="120"/>
      <c r="O19" s="120"/>
      <c r="P19" s="120"/>
      <c r="Q19" s="120"/>
      <c r="R19" s="120"/>
      <c r="S19" s="120"/>
      <c r="T19" s="120"/>
      <c r="U19" s="120"/>
      <c r="V19" s="120"/>
      <c r="W19" s="120"/>
      <c r="X19" s="120"/>
      <c r="Y19" s="120"/>
      <c r="Z19" s="120"/>
      <c r="AA19" s="120"/>
    </row>
    <row r="20" spans="1:27" s="109" customFormat="1" ht="19.5" customHeight="1">
      <c r="A20" s="145"/>
      <c r="B20" s="145"/>
      <c r="C20" s="145"/>
      <c r="D20" s="145"/>
      <c r="E20" s="146"/>
      <c r="F20" s="146"/>
      <c r="G20" s="146"/>
      <c r="H20" s="66"/>
      <c r="I20" s="145"/>
      <c r="J20" s="107"/>
    </row>
    <row r="21" spans="1:27" s="54" customFormat="1" ht="19.5" customHeight="1">
      <c r="A21" s="145"/>
      <c r="B21" s="145"/>
      <c r="C21" s="145"/>
      <c r="D21" s="66"/>
      <c r="E21" s="146"/>
      <c r="F21" s="146"/>
      <c r="G21" s="146"/>
      <c r="H21" s="146"/>
      <c r="I21" s="145"/>
      <c r="M21" s="120"/>
      <c r="N21" s="120"/>
      <c r="O21" s="120"/>
      <c r="P21" s="120"/>
      <c r="Q21" s="120"/>
      <c r="R21" s="120"/>
      <c r="S21" s="120"/>
      <c r="T21" s="120"/>
      <c r="U21" s="120"/>
      <c r="V21" s="120"/>
      <c r="W21" s="120"/>
      <c r="X21" s="120"/>
      <c r="Y21" s="120"/>
      <c r="Z21" s="120"/>
      <c r="AA21" s="120"/>
    </row>
    <row r="22" spans="1:27" s="109" customFormat="1" ht="19.5" customHeight="1">
      <c r="A22" s="145"/>
      <c r="B22" s="145"/>
      <c r="C22" s="145"/>
      <c r="D22" s="145"/>
      <c r="E22" s="146"/>
      <c r="F22" s="146"/>
      <c r="G22" s="146"/>
      <c r="H22" s="66"/>
      <c r="I22" s="145"/>
      <c r="J22" s="107"/>
    </row>
    <row r="23" spans="1:27" s="54" customFormat="1" ht="19.5" customHeight="1">
      <c r="A23" s="145"/>
      <c r="B23" s="145"/>
      <c r="C23" s="145"/>
      <c r="D23" s="66"/>
      <c r="E23" s="146"/>
      <c r="F23" s="146"/>
      <c r="G23" s="146"/>
      <c r="H23" s="146"/>
      <c r="I23" s="145"/>
      <c r="M23" s="120"/>
      <c r="N23" s="120"/>
      <c r="O23" s="120"/>
      <c r="P23" s="120"/>
      <c r="Q23" s="120"/>
      <c r="R23" s="120"/>
      <c r="S23" s="120"/>
      <c r="T23" s="120"/>
      <c r="U23" s="120"/>
      <c r="V23" s="120"/>
      <c r="W23" s="120"/>
      <c r="X23" s="120"/>
      <c r="Y23" s="120"/>
      <c r="Z23" s="120"/>
      <c r="AA23" s="120"/>
    </row>
    <row r="24" spans="1:27" s="109" customFormat="1" ht="19.5" customHeight="1">
      <c r="A24" s="145"/>
      <c r="B24" s="145"/>
      <c r="C24" s="145"/>
      <c r="D24" s="145"/>
      <c r="E24" s="146"/>
      <c r="F24" s="146"/>
      <c r="G24" s="146"/>
      <c r="H24" s="66"/>
      <c r="I24" s="145"/>
      <c r="J24" s="107"/>
    </row>
    <row r="25" spans="1:27" s="54" customFormat="1" ht="19.5" customHeight="1">
      <c r="A25" s="98"/>
      <c r="B25" s="98"/>
      <c r="C25" s="98"/>
      <c r="D25" s="138"/>
      <c r="E25" s="139"/>
      <c r="F25" s="139"/>
      <c r="G25" s="139"/>
      <c r="H25" s="139"/>
      <c r="I25" s="98"/>
      <c r="M25" s="120"/>
      <c r="N25" s="120"/>
      <c r="O25" s="120"/>
      <c r="P25" s="120"/>
      <c r="Q25" s="120"/>
      <c r="R25" s="120"/>
      <c r="S25" s="120"/>
      <c r="T25" s="120"/>
      <c r="U25" s="120"/>
      <c r="V25" s="120"/>
      <c r="W25" s="120"/>
      <c r="X25" s="120"/>
      <c r="Y25" s="120"/>
      <c r="Z25" s="120"/>
      <c r="AA25" s="120"/>
    </row>
    <row r="26" spans="1:27" s="109" customFormat="1" ht="19.5" customHeight="1">
      <c r="A26" s="98"/>
      <c r="B26" s="98"/>
      <c r="C26" s="98"/>
      <c r="D26" s="98"/>
      <c r="E26" s="139"/>
      <c r="F26" s="139"/>
      <c r="G26" s="139"/>
      <c r="H26" s="138"/>
      <c r="I26" s="98"/>
      <c r="J26" s="107"/>
    </row>
    <row r="27" spans="1:27" s="54" customFormat="1" ht="19.5" customHeight="1">
      <c r="A27" s="98"/>
      <c r="B27" s="98"/>
      <c r="C27" s="98"/>
      <c r="D27" s="138"/>
      <c r="E27" s="139"/>
      <c r="F27" s="139"/>
      <c r="G27" s="139"/>
      <c r="H27" s="139"/>
      <c r="I27" s="98"/>
      <c r="M27" s="120"/>
      <c r="N27" s="120"/>
      <c r="O27" s="120"/>
      <c r="P27" s="120"/>
      <c r="Q27" s="120"/>
      <c r="R27" s="120"/>
      <c r="S27" s="120"/>
      <c r="T27" s="120"/>
      <c r="U27" s="120"/>
      <c r="V27" s="120"/>
      <c r="W27" s="120"/>
      <c r="X27" s="120"/>
      <c r="Y27" s="120"/>
      <c r="Z27" s="120"/>
      <c r="AA27" s="120"/>
    </row>
    <row r="28" spans="1:27" s="109" customFormat="1" ht="19.5" customHeight="1">
      <c r="A28" s="98"/>
      <c r="B28" s="98"/>
      <c r="C28" s="98"/>
      <c r="D28" s="98"/>
      <c r="E28" s="139"/>
      <c r="F28" s="139"/>
      <c r="G28" s="139"/>
      <c r="H28" s="138"/>
      <c r="I28" s="98"/>
      <c r="J28" s="107"/>
    </row>
    <row r="29" spans="1:27" s="54" customFormat="1" ht="19.5" customHeight="1">
      <c r="A29" s="98"/>
      <c r="B29" s="98"/>
      <c r="C29" s="98"/>
      <c r="D29" s="138"/>
      <c r="E29" s="139"/>
      <c r="F29" s="139"/>
      <c r="G29" s="139"/>
      <c r="H29" s="139"/>
      <c r="I29" s="98"/>
      <c r="M29" s="120"/>
      <c r="N29" s="120"/>
      <c r="O29" s="120"/>
      <c r="P29" s="120"/>
      <c r="Q29" s="120"/>
      <c r="R29" s="120"/>
      <c r="S29" s="120"/>
      <c r="T29" s="120"/>
      <c r="U29" s="120"/>
      <c r="V29" s="120"/>
      <c r="W29" s="120"/>
      <c r="X29" s="120"/>
      <c r="Y29" s="120"/>
      <c r="Z29" s="120"/>
      <c r="AA29" s="120"/>
    </row>
    <row r="30" spans="1:27" s="54" customFormat="1" ht="19.5" customHeight="1">
      <c r="A30" s="108">
        <v>12</v>
      </c>
      <c r="B30" s="182" t="s">
        <v>193</v>
      </c>
      <c r="C30" s="180"/>
      <c r="D30" s="181"/>
      <c r="E30" s="110"/>
      <c r="F30" s="110"/>
      <c r="G30" s="110"/>
      <c r="H30" s="110"/>
      <c r="I30" s="111"/>
      <c r="M30" s="120"/>
      <c r="N30" s="120"/>
      <c r="O30" s="120"/>
      <c r="P30" s="120"/>
      <c r="Q30" s="120"/>
      <c r="R30" s="120"/>
      <c r="S30" s="120"/>
      <c r="T30" s="120"/>
      <c r="U30" s="120"/>
      <c r="V30" s="120"/>
      <c r="W30" s="120"/>
      <c r="X30" s="120"/>
      <c r="Y30" s="120"/>
      <c r="Z30" s="120"/>
      <c r="AA30" s="120"/>
    </row>
    <row r="31" spans="1:27" s="54" customFormat="1" ht="19.5" customHeight="1">
      <c r="A31" s="74"/>
      <c r="B31" s="128" t="s">
        <v>194</v>
      </c>
      <c r="C31" s="112"/>
      <c r="D31" s="113"/>
      <c r="E31" s="110"/>
      <c r="F31" s="110"/>
      <c r="G31" s="110"/>
      <c r="H31" s="110"/>
      <c r="I31" s="111"/>
      <c r="M31" s="120"/>
      <c r="N31" s="120"/>
      <c r="O31" s="120"/>
      <c r="P31" s="120"/>
      <c r="Q31" s="120"/>
      <c r="R31" s="120"/>
      <c r="S31" s="120"/>
      <c r="T31" s="120"/>
      <c r="U31" s="120"/>
      <c r="V31" s="120"/>
      <c r="W31" s="120"/>
      <c r="X31" s="120"/>
      <c r="Y31" s="120"/>
      <c r="Z31" s="120"/>
      <c r="AA31" s="120"/>
    </row>
    <row r="32" spans="1:27" s="54" customFormat="1" ht="27.75" customHeight="1">
      <c r="A32" s="74"/>
      <c r="B32" s="129" t="s">
        <v>195</v>
      </c>
      <c r="C32" s="114"/>
      <c r="D32" s="112"/>
      <c r="E32" s="130"/>
      <c r="F32" s="130"/>
      <c r="G32" s="130"/>
      <c r="H32" s="115"/>
      <c r="I32" s="116"/>
      <c r="M32" s="120"/>
      <c r="N32" s="120"/>
      <c r="O32" s="120"/>
      <c r="P32" s="120"/>
      <c r="Q32" s="120"/>
      <c r="R32" s="120"/>
      <c r="S32" s="120"/>
      <c r="T32" s="120"/>
      <c r="U32" s="120"/>
      <c r="V32" s="120"/>
      <c r="W32" s="120"/>
      <c r="X32" s="120"/>
      <c r="Y32" s="120"/>
      <c r="Z32" s="120"/>
      <c r="AA32" s="120"/>
    </row>
    <row r="33" spans="1:257" ht="12.75" customHeight="1">
      <c r="A33" s="37"/>
      <c r="B33" s="131"/>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c r="DA33" s="37"/>
      <c r="DB33" s="37"/>
      <c r="DC33" s="37"/>
      <c r="DD33" s="37"/>
      <c r="DE33" s="37"/>
      <c r="DF33" s="37"/>
      <c r="DG33" s="37"/>
      <c r="DH33" s="37"/>
      <c r="DI33" s="37"/>
      <c r="DJ33" s="37"/>
      <c r="DK33" s="37"/>
      <c r="DL33" s="37"/>
      <c r="DM33" s="37"/>
      <c r="DN33" s="37"/>
      <c r="DO33" s="37"/>
      <c r="DP33" s="37"/>
      <c r="DQ33" s="37"/>
      <c r="DR33" s="37"/>
      <c r="DS33" s="37"/>
      <c r="DT33" s="37"/>
      <c r="DU33" s="37"/>
      <c r="DV33" s="37"/>
      <c r="DW33" s="37"/>
      <c r="DX33" s="37"/>
      <c r="DY33" s="37"/>
      <c r="DZ33" s="37"/>
      <c r="EA33" s="37"/>
      <c r="EB33" s="37"/>
      <c r="EC33" s="37"/>
      <c r="ED33" s="37"/>
      <c r="EE33" s="37"/>
      <c r="EF33" s="37"/>
      <c r="EG33" s="37"/>
      <c r="EH33" s="37"/>
      <c r="EI33" s="37"/>
      <c r="EJ33" s="37"/>
      <c r="EK33" s="37"/>
      <c r="EL33" s="37"/>
      <c r="EM33" s="37"/>
      <c r="EN33" s="37"/>
      <c r="EO33" s="37"/>
      <c r="EP33" s="37"/>
      <c r="EQ33" s="37"/>
      <c r="ER33" s="37"/>
      <c r="ES33" s="37"/>
      <c r="ET33" s="37"/>
      <c r="EU33" s="37"/>
      <c r="EV33" s="37"/>
      <c r="EW33" s="37"/>
      <c r="EX33" s="37"/>
      <c r="EY33" s="37"/>
      <c r="EZ33" s="37"/>
      <c r="FA33" s="37"/>
      <c r="FB33" s="37"/>
      <c r="FC33" s="37"/>
      <c r="FD33" s="37"/>
      <c r="FE33" s="37"/>
      <c r="FF33" s="37"/>
      <c r="FG33" s="37"/>
      <c r="FH33" s="37"/>
      <c r="FI33" s="37"/>
      <c r="FJ33" s="37"/>
      <c r="FK33" s="37"/>
      <c r="FL33" s="37"/>
      <c r="FM33" s="37"/>
      <c r="FN33" s="37"/>
      <c r="FO33" s="37"/>
      <c r="FP33" s="37"/>
      <c r="FQ33" s="37"/>
      <c r="FR33" s="37"/>
      <c r="FS33" s="37"/>
      <c r="FT33" s="37"/>
      <c r="FU33" s="37"/>
      <c r="FV33" s="37"/>
      <c r="FW33" s="37"/>
      <c r="FX33" s="37"/>
      <c r="FY33" s="37"/>
      <c r="FZ33" s="37"/>
      <c r="GA33" s="37"/>
      <c r="GB33" s="37"/>
      <c r="GC33" s="37"/>
      <c r="GD33" s="37"/>
      <c r="GE33" s="37"/>
      <c r="GF33" s="37"/>
      <c r="GG33" s="37"/>
      <c r="GH33" s="37"/>
      <c r="GI33" s="37"/>
      <c r="GJ33" s="37"/>
      <c r="GK33" s="37"/>
      <c r="GL33" s="37"/>
      <c r="GM33" s="37"/>
      <c r="GN33" s="37"/>
      <c r="GO33" s="37"/>
      <c r="GP33" s="37"/>
      <c r="GQ33" s="37"/>
      <c r="GR33" s="37"/>
      <c r="GS33" s="37"/>
      <c r="GT33" s="37"/>
      <c r="GU33" s="37"/>
      <c r="GV33" s="37"/>
      <c r="GW33" s="37"/>
      <c r="GX33" s="37"/>
      <c r="GY33" s="37"/>
      <c r="GZ33" s="37"/>
      <c r="HA33" s="37"/>
      <c r="HB33" s="37"/>
      <c r="HC33" s="37"/>
      <c r="HD33" s="37"/>
      <c r="HE33" s="37"/>
      <c r="HF33" s="37"/>
      <c r="HG33" s="37"/>
      <c r="HH33" s="37"/>
      <c r="HI33" s="37"/>
      <c r="HJ33" s="37"/>
      <c r="HK33" s="37"/>
      <c r="HL33" s="37"/>
      <c r="HM33" s="37"/>
      <c r="HN33" s="37"/>
      <c r="HO33" s="37"/>
      <c r="HP33" s="37"/>
      <c r="HQ33" s="37"/>
      <c r="HR33" s="37"/>
      <c r="HS33" s="37"/>
      <c r="HT33" s="37"/>
      <c r="HU33" s="37"/>
      <c r="HV33" s="37"/>
      <c r="HW33" s="37"/>
      <c r="HX33" s="37"/>
      <c r="HY33" s="37"/>
      <c r="HZ33" s="37"/>
      <c r="IA33" s="37"/>
      <c r="IB33" s="37"/>
      <c r="IC33" s="37"/>
      <c r="ID33" s="37"/>
      <c r="IE33" s="37"/>
      <c r="IF33" s="37"/>
      <c r="IG33" s="37"/>
      <c r="IH33" s="37"/>
      <c r="II33" s="37"/>
      <c r="IJ33" s="37"/>
      <c r="IK33" s="37"/>
      <c r="IL33" s="37"/>
      <c r="IM33" s="37"/>
      <c r="IN33" s="37"/>
      <c r="IO33" s="37"/>
      <c r="IP33" s="37"/>
      <c r="IQ33" s="37"/>
      <c r="IR33" s="37"/>
      <c r="IS33" s="37"/>
      <c r="IT33" s="37"/>
      <c r="IU33" s="37"/>
      <c r="IV33" s="37"/>
      <c r="IW33" s="37"/>
    </row>
    <row r="34" spans="1:257" ht="12.75" customHeight="1">
      <c r="A34" s="37"/>
      <c r="B34" s="131"/>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c r="CP34" s="37"/>
      <c r="CQ34" s="37"/>
      <c r="CR34" s="37"/>
      <c r="CS34" s="37"/>
      <c r="CT34" s="37"/>
      <c r="CU34" s="37"/>
      <c r="CV34" s="37"/>
      <c r="CW34" s="37"/>
      <c r="CX34" s="37"/>
      <c r="CY34" s="37"/>
      <c r="CZ34" s="37"/>
      <c r="DA34" s="37"/>
      <c r="DB34" s="37"/>
      <c r="DC34" s="37"/>
      <c r="DD34" s="37"/>
      <c r="DE34" s="37"/>
      <c r="DF34" s="37"/>
      <c r="DG34" s="37"/>
      <c r="DH34" s="37"/>
      <c r="DI34" s="37"/>
      <c r="DJ34" s="37"/>
      <c r="DK34" s="37"/>
      <c r="DL34" s="37"/>
      <c r="DM34" s="37"/>
      <c r="DN34" s="37"/>
      <c r="DO34" s="37"/>
      <c r="DP34" s="37"/>
      <c r="DQ34" s="37"/>
      <c r="DR34" s="37"/>
      <c r="DS34" s="37"/>
      <c r="DT34" s="37"/>
      <c r="DU34" s="37"/>
      <c r="DV34" s="37"/>
      <c r="DW34" s="37"/>
      <c r="DX34" s="37"/>
      <c r="DY34" s="37"/>
      <c r="DZ34" s="37"/>
      <c r="EA34" s="37"/>
      <c r="EB34" s="37"/>
      <c r="EC34" s="37"/>
      <c r="ED34" s="37"/>
      <c r="EE34" s="37"/>
      <c r="EF34" s="37"/>
      <c r="EG34" s="37"/>
      <c r="EH34" s="37"/>
      <c r="EI34" s="37"/>
      <c r="EJ34" s="37"/>
      <c r="EK34" s="37"/>
      <c r="EL34" s="37"/>
      <c r="EM34" s="37"/>
      <c r="EN34" s="37"/>
      <c r="EO34" s="37"/>
      <c r="EP34" s="37"/>
      <c r="EQ34" s="37"/>
      <c r="ER34" s="37"/>
      <c r="ES34" s="37"/>
      <c r="ET34" s="37"/>
      <c r="EU34" s="37"/>
      <c r="EV34" s="37"/>
      <c r="EW34" s="37"/>
      <c r="EX34" s="37"/>
      <c r="EY34" s="37"/>
      <c r="EZ34" s="37"/>
      <c r="FA34" s="37"/>
      <c r="FB34" s="37"/>
      <c r="FC34" s="37"/>
      <c r="FD34" s="37"/>
      <c r="FE34" s="37"/>
      <c r="FF34" s="37"/>
      <c r="FG34" s="37"/>
      <c r="FH34" s="37"/>
      <c r="FI34" s="37"/>
      <c r="FJ34" s="37"/>
      <c r="FK34" s="37"/>
      <c r="FL34" s="37"/>
      <c r="FM34" s="37"/>
      <c r="FN34" s="37"/>
      <c r="FO34" s="37"/>
      <c r="FP34" s="37"/>
      <c r="FQ34" s="37"/>
      <c r="FR34" s="37"/>
      <c r="FS34" s="37"/>
      <c r="FT34" s="37"/>
      <c r="FU34" s="37"/>
      <c r="FV34" s="37"/>
      <c r="FW34" s="37"/>
      <c r="FX34" s="37"/>
      <c r="FY34" s="37"/>
      <c r="FZ34" s="37"/>
      <c r="GA34" s="37"/>
      <c r="GB34" s="37"/>
      <c r="GC34" s="37"/>
      <c r="GD34" s="37"/>
      <c r="GE34" s="37"/>
      <c r="GF34" s="37"/>
      <c r="GG34" s="37"/>
      <c r="GH34" s="37"/>
      <c r="GI34" s="37"/>
      <c r="GJ34" s="37"/>
      <c r="GK34" s="37"/>
      <c r="GL34" s="37"/>
      <c r="GM34" s="37"/>
      <c r="GN34" s="37"/>
      <c r="GO34" s="37"/>
      <c r="GP34" s="37"/>
      <c r="GQ34" s="37"/>
      <c r="GR34" s="37"/>
      <c r="GS34" s="37"/>
      <c r="GT34" s="37"/>
      <c r="GU34" s="37"/>
      <c r="GV34" s="37"/>
      <c r="GW34" s="37"/>
      <c r="GX34" s="37"/>
      <c r="GY34" s="37"/>
      <c r="GZ34" s="37"/>
      <c r="HA34" s="37"/>
      <c r="HB34" s="37"/>
      <c r="HC34" s="37"/>
      <c r="HD34" s="37"/>
      <c r="HE34" s="37"/>
      <c r="HF34" s="37"/>
      <c r="HG34" s="37"/>
      <c r="HH34" s="37"/>
      <c r="HI34" s="37"/>
      <c r="HJ34" s="37"/>
      <c r="HK34" s="37"/>
      <c r="HL34" s="37"/>
      <c r="HM34" s="37"/>
      <c r="HN34" s="37"/>
      <c r="HO34" s="37"/>
      <c r="HP34" s="37"/>
      <c r="HQ34" s="37"/>
      <c r="HR34" s="37"/>
      <c r="HS34" s="37"/>
      <c r="HT34" s="37"/>
      <c r="HU34" s="37"/>
      <c r="HV34" s="37"/>
      <c r="HW34" s="37"/>
      <c r="HX34" s="37"/>
      <c r="HY34" s="37"/>
      <c r="HZ34" s="37"/>
      <c r="IA34" s="37"/>
      <c r="IB34" s="37"/>
      <c r="IC34" s="37"/>
      <c r="ID34" s="37"/>
      <c r="IE34" s="37"/>
      <c r="IF34" s="37"/>
      <c r="IG34" s="37"/>
      <c r="IH34" s="37"/>
      <c r="II34" s="37"/>
      <c r="IJ34" s="37"/>
      <c r="IK34" s="37"/>
      <c r="IL34" s="37"/>
      <c r="IM34" s="37"/>
      <c r="IN34" s="37"/>
      <c r="IO34" s="37"/>
      <c r="IP34" s="37"/>
      <c r="IQ34" s="37"/>
      <c r="IR34" s="37"/>
      <c r="IS34" s="37"/>
      <c r="IT34" s="37"/>
      <c r="IU34" s="37"/>
      <c r="IV34" s="37"/>
      <c r="IW34" s="37"/>
    </row>
    <row r="35" spans="1:257" ht="12.75" customHeight="1">
      <c r="A35" s="37"/>
      <c r="B35" s="131"/>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c r="CO35" s="37"/>
      <c r="CP35" s="37"/>
      <c r="CQ35" s="37"/>
      <c r="CR35" s="37"/>
      <c r="CS35" s="37"/>
      <c r="CT35" s="37"/>
      <c r="CU35" s="37"/>
      <c r="CV35" s="37"/>
      <c r="CW35" s="37"/>
      <c r="CX35" s="37"/>
      <c r="CY35" s="37"/>
      <c r="CZ35" s="37"/>
      <c r="DA35" s="37"/>
      <c r="DB35" s="37"/>
      <c r="DC35" s="37"/>
      <c r="DD35" s="37"/>
      <c r="DE35" s="37"/>
      <c r="DF35" s="37"/>
      <c r="DG35" s="37"/>
      <c r="DH35" s="37"/>
      <c r="DI35" s="37"/>
      <c r="DJ35" s="37"/>
      <c r="DK35" s="37"/>
      <c r="DL35" s="37"/>
      <c r="DM35" s="37"/>
      <c r="DN35" s="37"/>
      <c r="DO35" s="37"/>
      <c r="DP35" s="37"/>
      <c r="DQ35" s="37"/>
      <c r="DR35" s="37"/>
      <c r="DS35" s="37"/>
      <c r="DT35" s="37"/>
      <c r="DU35" s="37"/>
      <c r="DV35" s="37"/>
      <c r="DW35" s="37"/>
      <c r="DX35" s="37"/>
      <c r="DY35" s="37"/>
      <c r="DZ35" s="37"/>
      <c r="EA35" s="37"/>
      <c r="EB35" s="37"/>
      <c r="EC35" s="37"/>
      <c r="ED35" s="37"/>
      <c r="EE35" s="37"/>
      <c r="EF35" s="37"/>
      <c r="EG35" s="37"/>
      <c r="EH35" s="37"/>
      <c r="EI35" s="37"/>
      <c r="EJ35" s="37"/>
      <c r="EK35" s="37"/>
      <c r="EL35" s="37"/>
      <c r="EM35" s="37"/>
      <c r="EN35" s="37"/>
      <c r="EO35" s="37"/>
      <c r="EP35" s="37"/>
      <c r="EQ35" s="37"/>
      <c r="ER35" s="37"/>
      <c r="ES35" s="37"/>
      <c r="ET35" s="37"/>
      <c r="EU35" s="37"/>
      <c r="EV35" s="37"/>
      <c r="EW35" s="37"/>
      <c r="EX35" s="37"/>
      <c r="EY35" s="37"/>
      <c r="EZ35" s="37"/>
      <c r="FA35" s="37"/>
      <c r="FB35" s="37"/>
      <c r="FC35" s="37"/>
      <c r="FD35" s="37"/>
      <c r="FE35" s="37"/>
      <c r="FF35" s="37"/>
      <c r="FG35" s="37"/>
      <c r="FH35" s="37"/>
      <c r="FI35" s="37"/>
      <c r="FJ35" s="37"/>
      <c r="FK35" s="37"/>
      <c r="FL35" s="37"/>
      <c r="FM35" s="37"/>
      <c r="FN35" s="37"/>
      <c r="FO35" s="37"/>
      <c r="FP35" s="37"/>
      <c r="FQ35" s="37"/>
      <c r="FR35" s="37"/>
      <c r="FS35" s="37"/>
      <c r="FT35" s="37"/>
      <c r="FU35" s="37"/>
      <c r="FV35" s="37"/>
      <c r="FW35" s="37"/>
      <c r="FX35" s="37"/>
      <c r="FY35" s="37"/>
      <c r="FZ35" s="37"/>
      <c r="GA35" s="37"/>
      <c r="GB35" s="37"/>
      <c r="GC35" s="37"/>
      <c r="GD35" s="37"/>
      <c r="GE35" s="37"/>
      <c r="GF35" s="37"/>
      <c r="GG35" s="37"/>
      <c r="GH35" s="37"/>
      <c r="GI35" s="37"/>
      <c r="GJ35" s="37"/>
      <c r="GK35" s="37"/>
      <c r="GL35" s="37"/>
      <c r="GM35" s="37"/>
      <c r="GN35" s="37"/>
      <c r="GO35" s="37"/>
      <c r="GP35" s="37"/>
      <c r="GQ35" s="37"/>
      <c r="GR35" s="37"/>
      <c r="GS35" s="37"/>
      <c r="GT35" s="37"/>
      <c r="GU35" s="37"/>
      <c r="GV35" s="37"/>
      <c r="GW35" s="37"/>
      <c r="GX35" s="37"/>
      <c r="GY35" s="37"/>
      <c r="GZ35" s="37"/>
      <c r="HA35" s="37"/>
      <c r="HB35" s="37"/>
      <c r="HC35" s="37"/>
      <c r="HD35" s="37"/>
      <c r="HE35" s="37"/>
      <c r="HF35" s="37"/>
      <c r="HG35" s="37"/>
      <c r="HH35" s="37"/>
      <c r="HI35" s="37"/>
      <c r="HJ35" s="37"/>
      <c r="HK35" s="37"/>
      <c r="HL35" s="37"/>
      <c r="HM35" s="37"/>
      <c r="HN35" s="37"/>
      <c r="HO35" s="37"/>
      <c r="HP35" s="37"/>
      <c r="HQ35" s="37"/>
      <c r="HR35" s="37"/>
      <c r="HS35" s="37"/>
      <c r="HT35" s="37"/>
      <c r="HU35" s="37"/>
      <c r="HV35" s="37"/>
      <c r="HW35" s="37"/>
      <c r="HX35" s="37"/>
      <c r="HY35" s="37"/>
      <c r="HZ35" s="37"/>
      <c r="IA35" s="37"/>
      <c r="IB35" s="37"/>
      <c r="IC35" s="37"/>
      <c r="ID35" s="37"/>
      <c r="IE35" s="37"/>
      <c r="IF35" s="37"/>
      <c r="IG35" s="37"/>
      <c r="IH35" s="37"/>
      <c r="II35" s="37"/>
      <c r="IJ35" s="37"/>
      <c r="IK35" s="37"/>
      <c r="IL35" s="37"/>
      <c r="IM35" s="37"/>
      <c r="IN35" s="37"/>
      <c r="IO35" s="37"/>
      <c r="IP35" s="37"/>
      <c r="IQ35" s="37"/>
      <c r="IR35" s="37"/>
      <c r="IS35" s="37"/>
      <c r="IT35" s="37"/>
      <c r="IU35" s="37"/>
      <c r="IV35" s="37"/>
      <c r="IW35" s="37"/>
    </row>
    <row r="36" spans="1:257" ht="12.75" customHeight="1">
      <c r="A36" s="37"/>
      <c r="B36" s="131"/>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c r="CO36" s="37"/>
      <c r="CP36" s="37"/>
      <c r="CQ36" s="37"/>
      <c r="CR36" s="37"/>
      <c r="CS36" s="37"/>
      <c r="CT36" s="37"/>
      <c r="CU36" s="37"/>
      <c r="CV36" s="37"/>
      <c r="CW36" s="37"/>
      <c r="CX36" s="37"/>
      <c r="CY36" s="37"/>
      <c r="CZ36" s="37"/>
      <c r="DA36" s="37"/>
      <c r="DB36" s="37"/>
      <c r="DC36" s="37"/>
      <c r="DD36" s="37"/>
      <c r="DE36" s="37"/>
      <c r="DF36" s="37"/>
      <c r="DG36" s="37"/>
      <c r="DH36" s="37"/>
      <c r="DI36" s="37"/>
      <c r="DJ36" s="37"/>
      <c r="DK36" s="37"/>
      <c r="DL36" s="37"/>
      <c r="DM36" s="37"/>
      <c r="DN36" s="37"/>
      <c r="DO36" s="37"/>
      <c r="DP36" s="37"/>
      <c r="DQ36" s="37"/>
      <c r="DR36" s="37"/>
      <c r="DS36" s="37"/>
      <c r="DT36" s="37"/>
      <c r="DU36" s="37"/>
      <c r="DV36" s="37"/>
      <c r="DW36" s="37"/>
      <c r="DX36" s="37"/>
      <c r="DY36" s="37"/>
      <c r="DZ36" s="37"/>
      <c r="EA36" s="37"/>
      <c r="EB36" s="37"/>
      <c r="EC36" s="37"/>
      <c r="ED36" s="37"/>
      <c r="EE36" s="37"/>
      <c r="EF36" s="37"/>
      <c r="EG36" s="37"/>
      <c r="EH36" s="37"/>
      <c r="EI36" s="37"/>
      <c r="EJ36" s="37"/>
      <c r="EK36" s="37"/>
      <c r="EL36" s="37"/>
      <c r="EM36" s="37"/>
      <c r="EN36" s="37"/>
      <c r="EO36" s="37"/>
      <c r="EP36" s="37"/>
      <c r="EQ36" s="37"/>
      <c r="ER36" s="37"/>
      <c r="ES36" s="37"/>
      <c r="ET36" s="37"/>
      <c r="EU36" s="37"/>
      <c r="EV36" s="37"/>
      <c r="EW36" s="37"/>
      <c r="EX36" s="37"/>
      <c r="EY36" s="37"/>
      <c r="EZ36" s="37"/>
      <c r="FA36" s="37"/>
      <c r="FB36" s="37"/>
      <c r="FC36" s="37"/>
      <c r="FD36" s="37"/>
      <c r="FE36" s="37"/>
      <c r="FF36" s="37"/>
      <c r="FG36" s="37"/>
      <c r="FH36" s="37"/>
      <c r="FI36" s="37"/>
      <c r="FJ36" s="37"/>
      <c r="FK36" s="37"/>
      <c r="FL36" s="37"/>
      <c r="FM36" s="37"/>
      <c r="FN36" s="37"/>
      <c r="FO36" s="37"/>
      <c r="FP36" s="37"/>
      <c r="FQ36" s="37"/>
      <c r="FR36" s="37"/>
      <c r="FS36" s="37"/>
      <c r="FT36" s="37"/>
      <c r="FU36" s="37"/>
      <c r="FV36" s="37"/>
      <c r="FW36" s="37"/>
      <c r="FX36" s="37"/>
      <c r="FY36" s="37"/>
      <c r="FZ36" s="37"/>
      <c r="GA36" s="37"/>
      <c r="GB36" s="37"/>
      <c r="GC36" s="37"/>
      <c r="GD36" s="37"/>
      <c r="GE36" s="37"/>
      <c r="GF36" s="37"/>
      <c r="GG36" s="37"/>
      <c r="GH36" s="37"/>
      <c r="GI36" s="37"/>
      <c r="GJ36" s="37"/>
      <c r="GK36" s="37"/>
      <c r="GL36" s="37"/>
      <c r="GM36" s="37"/>
      <c r="GN36" s="37"/>
      <c r="GO36" s="37"/>
      <c r="GP36" s="37"/>
      <c r="GQ36" s="37"/>
      <c r="GR36" s="37"/>
      <c r="GS36" s="37"/>
      <c r="GT36" s="37"/>
      <c r="GU36" s="37"/>
      <c r="GV36" s="37"/>
      <c r="GW36" s="37"/>
      <c r="GX36" s="37"/>
      <c r="GY36" s="37"/>
      <c r="GZ36" s="37"/>
      <c r="HA36" s="37"/>
      <c r="HB36" s="37"/>
      <c r="HC36" s="37"/>
      <c r="HD36" s="37"/>
      <c r="HE36" s="37"/>
      <c r="HF36" s="37"/>
      <c r="HG36" s="37"/>
      <c r="HH36" s="37"/>
      <c r="HI36" s="37"/>
      <c r="HJ36" s="37"/>
      <c r="HK36" s="37"/>
      <c r="HL36" s="37"/>
      <c r="HM36" s="37"/>
      <c r="HN36" s="37"/>
      <c r="HO36" s="37"/>
      <c r="HP36" s="37"/>
      <c r="HQ36" s="37"/>
      <c r="HR36" s="37"/>
      <c r="HS36" s="37"/>
      <c r="HT36" s="37"/>
      <c r="HU36" s="37"/>
      <c r="HV36" s="37"/>
      <c r="HW36" s="37"/>
      <c r="HX36" s="37"/>
      <c r="HY36" s="37"/>
      <c r="HZ36" s="37"/>
      <c r="IA36" s="37"/>
      <c r="IB36" s="37"/>
      <c r="IC36" s="37"/>
      <c r="ID36" s="37"/>
      <c r="IE36" s="37"/>
      <c r="IF36" s="37"/>
      <c r="IG36" s="37"/>
      <c r="IH36" s="37"/>
      <c r="II36" s="37"/>
      <c r="IJ36" s="37"/>
      <c r="IK36" s="37"/>
      <c r="IL36" s="37"/>
      <c r="IM36" s="37"/>
      <c r="IN36" s="37"/>
      <c r="IO36" s="37"/>
      <c r="IP36" s="37"/>
      <c r="IQ36" s="37"/>
      <c r="IR36" s="37"/>
      <c r="IS36" s="37"/>
      <c r="IT36" s="37"/>
      <c r="IU36" s="37"/>
      <c r="IV36" s="37"/>
      <c r="IW36" s="37"/>
    </row>
    <row r="37" spans="1:257" ht="12.75" customHeight="1">
      <c r="A37" s="37"/>
      <c r="B37" s="131"/>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c r="CS37" s="37"/>
      <c r="CT37" s="37"/>
      <c r="CU37" s="37"/>
      <c r="CV37" s="37"/>
      <c r="CW37" s="37"/>
      <c r="CX37" s="37"/>
      <c r="CY37" s="37"/>
      <c r="CZ37" s="37"/>
      <c r="DA37" s="37"/>
      <c r="DB37" s="37"/>
      <c r="DC37" s="37"/>
      <c r="DD37" s="37"/>
      <c r="DE37" s="37"/>
      <c r="DF37" s="37"/>
      <c r="DG37" s="37"/>
      <c r="DH37" s="37"/>
      <c r="DI37" s="37"/>
      <c r="DJ37" s="37"/>
      <c r="DK37" s="37"/>
      <c r="DL37" s="37"/>
      <c r="DM37" s="37"/>
      <c r="DN37" s="37"/>
      <c r="DO37" s="37"/>
      <c r="DP37" s="37"/>
      <c r="DQ37" s="37"/>
      <c r="DR37" s="37"/>
      <c r="DS37" s="37"/>
      <c r="DT37" s="37"/>
      <c r="DU37" s="37"/>
      <c r="DV37" s="37"/>
      <c r="DW37" s="37"/>
      <c r="DX37" s="37"/>
      <c r="DY37" s="37"/>
      <c r="DZ37" s="37"/>
      <c r="EA37" s="37"/>
      <c r="EB37" s="37"/>
      <c r="EC37" s="37"/>
      <c r="ED37" s="37"/>
      <c r="EE37" s="37"/>
      <c r="EF37" s="37"/>
      <c r="EG37" s="37"/>
      <c r="EH37" s="37"/>
      <c r="EI37" s="37"/>
      <c r="EJ37" s="37"/>
      <c r="EK37" s="37"/>
      <c r="EL37" s="37"/>
      <c r="EM37" s="37"/>
      <c r="EN37" s="37"/>
      <c r="EO37" s="37"/>
      <c r="EP37" s="37"/>
      <c r="EQ37" s="37"/>
      <c r="ER37" s="37"/>
      <c r="ES37" s="37"/>
      <c r="ET37" s="37"/>
      <c r="EU37" s="37"/>
      <c r="EV37" s="37"/>
      <c r="EW37" s="37"/>
      <c r="EX37" s="37"/>
      <c r="EY37" s="37"/>
      <c r="EZ37" s="37"/>
      <c r="FA37" s="37"/>
      <c r="FB37" s="37"/>
      <c r="FC37" s="37"/>
      <c r="FD37" s="37"/>
      <c r="FE37" s="37"/>
      <c r="FF37" s="37"/>
      <c r="FG37" s="37"/>
      <c r="FH37" s="37"/>
      <c r="FI37" s="37"/>
      <c r="FJ37" s="37"/>
      <c r="FK37" s="37"/>
      <c r="FL37" s="37"/>
      <c r="FM37" s="37"/>
      <c r="FN37" s="37"/>
      <c r="FO37" s="37"/>
      <c r="FP37" s="37"/>
      <c r="FQ37" s="37"/>
      <c r="FR37" s="37"/>
      <c r="FS37" s="37"/>
      <c r="FT37" s="37"/>
      <c r="FU37" s="37"/>
      <c r="FV37" s="37"/>
      <c r="FW37" s="37"/>
      <c r="FX37" s="37"/>
      <c r="FY37" s="37"/>
      <c r="FZ37" s="37"/>
      <c r="GA37" s="37"/>
      <c r="GB37" s="37"/>
      <c r="GC37" s="37"/>
      <c r="GD37" s="37"/>
      <c r="GE37" s="37"/>
      <c r="GF37" s="37"/>
      <c r="GG37" s="37"/>
      <c r="GH37" s="37"/>
      <c r="GI37" s="37"/>
      <c r="GJ37" s="37"/>
      <c r="GK37" s="37"/>
      <c r="GL37" s="37"/>
      <c r="GM37" s="37"/>
      <c r="GN37" s="37"/>
      <c r="GO37" s="37"/>
      <c r="GP37" s="37"/>
      <c r="GQ37" s="37"/>
      <c r="GR37" s="37"/>
      <c r="GS37" s="37"/>
      <c r="GT37" s="37"/>
      <c r="GU37" s="37"/>
      <c r="GV37" s="37"/>
      <c r="GW37" s="37"/>
      <c r="GX37" s="37"/>
      <c r="GY37" s="37"/>
      <c r="GZ37" s="37"/>
      <c r="HA37" s="37"/>
      <c r="HB37" s="37"/>
      <c r="HC37" s="37"/>
      <c r="HD37" s="37"/>
      <c r="HE37" s="37"/>
      <c r="HF37" s="37"/>
      <c r="HG37" s="37"/>
      <c r="HH37" s="37"/>
      <c r="HI37" s="37"/>
      <c r="HJ37" s="37"/>
      <c r="HK37" s="37"/>
      <c r="HL37" s="37"/>
      <c r="HM37" s="37"/>
      <c r="HN37" s="37"/>
      <c r="HO37" s="37"/>
      <c r="HP37" s="37"/>
      <c r="HQ37" s="37"/>
      <c r="HR37" s="37"/>
      <c r="HS37" s="37"/>
      <c r="HT37" s="37"/>
      <c r="HU37" s="37"/>
      <c r="HV37" s="37"/>
      <c r="HW37" s="37"/>
      <c r="HX37" s="37"/>
      <c r="HY37" s="37"/>
      <c r="HZ37" s="37"/>
      <c r="IA37" s="37"/>
      <c r="IB37" s="37"/>
      <c r="IC37" s="37"/>
      <c r="ID37" s="37"/>
      <c r="IE37" s="37"/>
      <c r="IF37" s="37"/>
      <c r="IG37" s="37"/>
      <c r="IH37" s="37"/>
      <c r="II37" s="37"/>
      <c r="IJ37" s="37"/>
      <c r="IK37" s="37"/>
      <c r="IL37" s="37"/>
      <c r="IM37" s="37"/>
      <c r="IN37" s="37"/>
      <c r="IO37" s="37"/>
      <c r="IP37" s="37"/>
      <c r="IQ37" s="37"/>
      <c r="IR37" s="37"/>
      <c r="IS37" s="37"/>
      <c r="IT37" s="37"/>
      <c r="IU37" s="37"/>
      <c r="IV37" s="37"/>
      <c r="IW37" s="37"/>
    </row>
    <row r="38" spans="1:257" ht="12.75" customHeight="1">
      <c r="A38" s="37"/>
      <c r="B38" s="131"/>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c r="CW38" s="37"/>
      <c r="CX38" s="37"/>
      <c r="CY38" s="37"/>
      <c r="CZ38" s="37"/>
      <c r="DA38" s="37"/>
      <c r="DB38" s="37"/>
      <c r="DC38" s="37"/>
      <c r="DD38" s="37"/>
      <c r="DE38" s="37"/>
      <c r="DF38" s="37"/>
      <c r="DG38" s="37"/>
      <c r="DH38" s="37"/>
      <c r="DI38" s="37"/>
      <c r="DJ38" s="37"/>
      <c r="DK38" s="37"/>
      <c r="DL38" s="37"/>
      <c r="DM38" s="37"/>
      <c r="DN38" s="37"/>
      <c r="DO38" s="37"/>
      <c r="DP38" s="37"/>
      <c r="DQ38" s="37"/>
      <c r="DR38" s="37"/>
      <c r="DS38" s="37"/>
      <c r="DT38" s="37"/>
      <c r="DU38" s="37"/>
      <c r="DV38" s="37"/>
      <c r="DW38" s="37"/>
      <c r="DX38" s="37"/>
      <c r="DY38" s="37"/>
      <c r="DZ38" s="37"/>
      <c r="EA38" s="37"/>
      <c r="EB38" s="37"/>
      <c r="EC38" s="37"/>
      <c r="ED38" s="37"/>
      <c r="EE38" s="37"/>
      <c r="EF38" s="37"/>
      <c r="EG38" s="37"/>
      <c r="EH38" s="37"/>
      <c r="EI38" s="37"/>
      <c r="EJ38" s="37"/>
      <c r="EK38" s="37"/>
      <c r="EL38" s="37"/>
      <c r="EM38" s="37"/>
      <c r="EN38" s="37"/>
      <c r="EO38" s="37"/>
      <c r="EP38" s="37"/>
      <c r="EQ38" s="37"/>
      <c r="ER38" s="37"/>
      <c r="ES38" s="37"/>
      <c r="ET38" s="37"/>
      <c r="EU38" s="37"/>
      <c r="EV38" s="37"/>
      <c r="EW38" s="37"/>
      <c r="EX38" s="37"/>
      <c r="EY38" s="37"/>
      <c r="EZ38" s="37"/>
      <c r="FA38" s="37"/>
      <c r="FB38" s="37"/>
      <c r="FC38" s="37"/>
      <c r="FD38" s="37"/>
      <c r="FE38" s="37"/>
      <c r="FF38" s="37"/>
      <c r="FG38" s="37"/>
      <c r="FH38" s="37"/>
      <c r="FI38" s="37"/>
      <c r="FJ38" s="37"/>
      <c r="FK38" s="37"/>
      <c r="FL38" s="37"/>
      <c r="FM38" s="37"/>
      <c r="FN38" s="37"/>
      <c r="FO38" s="37"/>
      <c r="FP38" s="37"/>
      <c r="FQ38" s="37"/>
      <c r="FR38" s="37"/>
      <c r="FS38" s="37"/>
      <c r="FT38" s="37"/>
      <c r="FU38" s="37"/>
      <c r="FV38" s="37"/>
      <c r="FW38" s="37"/>
      <c r="FX38" s="37"/>
      <c r="FY38" s="37"/>
      <c r="FZ38" s="37"/>
      <c r="GA38" s="37"/>
      <c r="GB38" s="37"/>
      <c r="GC38" s="37"/>
      <c r="GD38" s="37"/>
      <c r="GE38" s="37"/>
      <c r="GF38" s="37"/>
      <c r="GG38" s="37"/>
      <c r="GH38" s="37"/>
      <c r="GI38" s="37"/>
      <c r="GJ38" s="37"/>
      <c r="GK38" s="37"/>
      <c r="GL38" s="37"/>
      <c r="GM38" s="37"/>
      <c r="GN38" s="37"/>
      <c r="GO38" s="37"/>
      <c r="GP38" s="37"/>
      <c r="GQ38" s="37"/>
      <c r="GR38" s="37"/>
      <c r="GS38" s="37"/>
      <c r="GT38" s="37"/>
      <c r="GU38" s="37"/>
      <c r="GV38" s="37"/>
      <c r="GW38" s="37"/>
      <c r="GX38" s="37"/>
      <c r="GY38" s="37"/>
      <c r="GZ38" s="37"/>
      <c r="HA38" s="37"/>
      <c r="HB38" s="37"/>
      <c r="HC38" s="37"/>
      <c r="HD38" s="37"/>
      <c r="HE38" s="37"/>
      <c r="HF38" s="37"/>
      <c r="HG38" s="37"/>
      <c r="HH38" s="37"/>
      <c r="HI38" s="37"/>
      <c r="HJ38" s="37"/>
      <c r="HK38" s="37"/>
      <c r="HL38" s="37"/>
      <c r="HM38" s="37"/>
      <c r="HN38" s="37"/>
      <c r="HO38" s="37"/>
      <c r="HP38" s="37"/>
      <c r="HQ38" s="37"/>
      <c r="HR38" s="37"/>
      <c r="HS38" s="37"/>
      <c r="HT38" s="37"/>
      <c r="HU38" s="37"/>
      <c r="HV38" s="37"/>
      <c r="HW38" s="37"/>
      <c r="HX38" s="37"/>
      <c r="HY38" s="37"/>
      <c r="HZ38" s="37"/>
      <c r="IA38" s="37"/>
      <c r="IB38" s="37"/>
      <c r="IC38" s="37"/>
      <c r="ID38" s="37"/>
      <c r="IE38" s="37"/>
      <c r="IF38" s="37"/>
      <c r="IG38" s="37"/>
      <c r="IH38" s="37"/>
      <c r="II38" s="37"/>
      <c r="IJ38" s="37"/>
      <c r="IK38" s="37"/>
      <c r="IL38" s="37"/>
      <c r="IM38" s="37"/>
      <c r="IN38" s="37"/>
      <c r="IO38" s="37"/>
      <c r="IP38" s="37"/>
      <c r="IQ38" s="37"/>
      <c r="IR38" s="37"/>
      <c r="IS38" s="37"/>
      <c r="IT38" s="37"/>
      <c r="IU38" s="37"/>
      <c r="IV38" s="37"/>
      <c r="IW38" s="37"/>
    </row>
    <row r="39" spans="1:257" ht="12.75" customHeight="1">
      <c r="A39" s="37"/>
      <c r="B39" s="131"/>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c r="CU39" s="37"/>
      <c r="CV39" s="37"/>
      <c r="CW39" s="37"/>
      <c r="CX39" s="37"/>
      <c r="CY39" s="37"/>
      <c r="CZ39" s="37"/>
      <c r="DA39" s="37"/>
      <c r="DB39" s="37"/>
      <c r="DC39" s="37"/>
      <c r="DD39" s="37"/>
      <c r="DE39" s="37"/>
      <c r="DF39" s="37"/>
      <c r="DG39" s="37"/>
      <c r="DH39" s="37"/>
      <c r="DI39" s="37"/>
      <c r="DJ39" s="37"/>
      <c r="DK39" s="37"/>
      <c r="DL39" s="37"/>
      <c r="DM39" s="37"/>
      <c r="DN39" s="37"/>
      <c r="DO39" s="37"/>
      <c r="DP39" s="37"/>
      <c r="DQ39" s="37"/>
      <c r="DR39" s="37"/>
      <c r="DS39" s="37"/>
      <c r="DT39" s="37"/>
      <c r="DU39" s="37"/>
      <c r="DV39" s="37"/>
      <c r="DW39" s="37"/>
      <c r="DX39" s="37"/>
      <c r="DY39" s="37"/>
      <c r="DZ39" s="37"/>
      <c r="EA39" s="37"/>
      <c r="EB39" s="37"/>
      <c r="EC39" s="37"/>
      <c r="ED39" s="37"/>
      <c r="EE39" s="37"/>
      <c r="EF39" s="37"/>
      <c r="EG39" s="37"/>
      <c r="EH39" s="37"/>
      <c r="EI39" s="37"/>
      <c r="EJ39" s="37"/>
      <c r="EK39" s="37"/>
      <c r="EL39" s="37"/>
      <c r="EM39" s="37"/>
      <c r="EN39" s="37"/>
      <c r="EO39" s="37"/>
      <c r="EP39" s="37"/>
      <c r="EQ39" s="37"/>
      <c r="ER39" s="37"/>
      <c r="ES39" s="37"/>
      <c r="ET39" s="37"/>
      <c r="EU39" s="37"/>
      <c r="EV39" s="37"/>
      <c r="EW39" s="37"/>
      <c r="EX39" s="37"/>
      <c r="EY39" s="37"/>
      <c r="EZ39" s="37"/>
      <c r="FA39" s="37"/>
      <c r="FB39" s="37"/>
      <c r="FC39" s="37"/>
      <c r="FD39" s="37"/>
      <c r="FE39" s="37"/>
      <c r="FF39" s="37"/>
      <c r="FG39" s="37"/>
      <c r="FH39" s="37"/>
      <c r="FI39" s="37"/>
      <c r="FJ39" s="37"/>
      <c r="FK39" s="37"/>
      <c r="FL39" s="37"/>
      <c r="FM39" s="37"/>
      <c r="FN39" s="37"/>
      <c r="FO39" s="37"/>
      <c r="FP39" s="37"/>
      <c r="FQ39" s="37"/>
      <c r="FR39" s="37"/>
      <c r="FS39" s="37"/>
      <c r="FT39" s="37"/>
      <c r="FU39" s="37"/>
      <c r="FV39" s="37"/>
      <c r="FW39" s="37"/>
      <c r="FX39" s="37"/>
      <c r="FY39" s="37"/>
      <c r="FZ39" s="37"/>
      <c r="GA39" s="37"/>
      <c r="GB39" s="37"/>
      <c r="GC39" s="37"/>
      <c r="GD39" s="37"/>
      <c r="GE39" s="37"/>
      <c r="GF39" s="37"/>
      <c r="GG39" s="37"/>
      <c r="GH39" s="37"/>
      <c r="GI39" s="37"/>
      <c r="GJ39" s="37"/>
      <c r="GK39" s="37"/>
      <c r="GL39" s="37"/>
      <c r="GM39" s="37"/>
      <c r="GN39" s="37"/>
      <c r="GO39" s="37"/>
      <c r="GP39" s="37"/>
      <c r="GQ39" s="37"/>
      <c r="GR39" s="37"/>
      <c r="GS39" s="37"/>
      <c r="GT39" s="37"/>
      <c r="GU39" s="37"/>
      <c r="GV39" s="37"/>
      <c r="GW39" s="37"/>
      <c r="GX39" s="37"/>
      <c r="GY39" s="37"/>
      <c r="GZ39" s="37"/>
      <c r="HA39" s="37"/>
      <c r="HB39" s="37"/>
      <c r="HC39" s="37"/>
      <c r="HD39" s="37"/>
      <c r="HE39" s="37"/>
      <c r="HF39" s="37"/>
      <c r="HG39" s="37"/>
      <c r="HH39" s="37"/>
      <c r="HI39" s="37"/>
      <c r="HJ39" s="37"/>
      <c r="HK39" s="37"/>
      <c r="HL39" s="37"/>
      <c r="HM39" s="37"/>
      <c r="HN39" s="37"/>
      <c r="HO39" s="37"/>
      <c r="HP39" s="37"/>
      <c r="HQ39" s="37"/>
      <c r="HR39" s="37"/>
      <c r="HS39" s="37"/>
      <c r="HT39" s="37"/>
      <c r="HU39" s="37"/>
      <c r="HV39" s="37"/>
      <c r="HW39" s="37"/>
      <c r="HX39" s="37"/>
      <c r="HY39" s="37"/>
      <c r="HZ39" s="37"/>
      <c r="IA39" s="37"/>
      <c r="IB39" s="37"/>
      <c r="IC39" s="37"/>
      <c r="ID39" s="37"/>
      <c r="IE39" s="37"/>
      <c r="IF39" s="37"/>
      <c r="IG39" s="37"/>
      <c r="IH39" s="37"/>
      <c r="II39" s="37"/>
      <c r="IJ39" s="37"/>
      <c r="IK39" s="37"/>
      <c r="IL39" s="37"/>
      <c r="IM39" s="37"/>
      <c r="IN39" s="37"/>
      <c r="IO39" s="37"/>
      <c r="IP39" s="37"/>
      <c r="IQ39" s="37"/>
      <c r="IR39" s="37"/>
      <c r="IS39" s="37"/>
      <c r="IT39" s="37"/>
      <c r="IU39" s="37"/>
      <c r="IV39" s="37"/>
      <c r="IW39" s="37"/>
    </row>
    <row r="40" spans="1:257" ht="12.75" customHeight="1">
      <c r="A40" s="37"/>
      <c r="B40" s="131"/>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c r="CU40" s="37"/>
      <c r="CV40" s="37"/>
      <c r="CW40" s="37"/>
      <c r="CX40" s="37"/>
      <c r="CY40" s="37"/>
      <c r="CZ40" s="37"/>
      <c r="DA40" s="37"/>
      <c r="DB40" s="37"/>
      <c r="DC40" s="37"/>
      <c r="DD40" s="37"/>
      <c r="DE40" s="37"/>
      <c r="DF40" s="37"/>
      <c r="DG40" s="37"/>
      <c r="DH40" s="37"/>
      <c r="DI40" s="37"/>
      <c r="DJ40" s="37"/>
      <c r="DK40" s="37"/>
      <c r="DL40" s="37"/>
      <c r="DM40" s="37"/>
      <c r="DN40" s="37"/>
      <c r="DO40" s="37"/>
      <c r="DP40" s="37"/>
      <c r="DQ40" s="37"/>
      <c r="DR40" s="37"/>
      <c r="DS40" s="37"/>
      <c r="DT40" s="37"/>
      <c r="DU40" s="37"/>
      <c r="DV40" s="37"/>
      <c r="DW40" s="37"/>
      <c r="DX40" s="37"/>
      <c r="DY40" s="37"/>
      <c r="DZ40" s="37"/>
      <c r="EA40" s="37"/>
      <c r="EB40" s="37"/>
      <c r="EC40" s="37"/>
      <c r="ED40" s="37"/>
      <c r="EE40" s="37"/>
      <c r="EF40" s="37"/>
      <c r="EG40" s="37"/>
      <c r="EH40" s="37"/>
      <c r="EI40" s="37"/>
      <c r="EJ40" s="37"/>
      <c r="EK40" s="37"/>
      <c r="EL40" s="37"/>
      <c r="EM40" s="37"/>
      <c r="EN40" s="37"/>
      <c r="EO40" s="37"/>
      <c r="EP40" s="37"/>
      <c r="EQ40" s="37"/>
      <c r="ER40" s="37"/>
      <c r="ES40" s="37"/>
      <c r="ET40" s="37"/>
      <c r="EU40" s="37"/>
      <c r="EV40" s="37"/>
      <c r="EW40" s="37"/>
      <c r="EX40" s="37"/>
      <c r="EY40" s="37"/>
      <c r="EZ40" s="37"/>
      <c r="FA40" s="37"/>
      <c r="FB40" s="37"/>
      <c r="FC40" s="37"/>
      <c r="FD40" s="37"/>
      <c r="FE40" s="37"/>
      <c r="FF40" s="37"/>
      <c r="FG40" s="37"/>
      <c r="FH40" s="37"/>
      <c r="FI40" s="37"/>
      <c r="FJ40" s="37"/>
      <c r="FK40" s="37"/>
      <c r="FL40" s="37"/>
      <c r="FM40" s="37"/>
      <c r="FN40" s="37"/>
      <c r="FO40" s="37"/>
      <c r="FP40" s="37"/>
      <c r="FQ40" s="37"/>
      <c r="FR40" s="37"/>
      <c r="FS40" s="37"/>
      <c r="FT40" s="37"/>
      <c r="FU40" s="37"/>
      <c r="FV40" s="37"/>
      <c r="FW40" s="37"/>
      <c r="FX40" s="37"/>
      <c r="FY40" s="37"/>
      <c r="FZ40" s="37"/>
      <c r="GA40" s="37"/>
      <c r="GB40" s="37"/>
      <c r="GC40" s="37"/>
      <c r="GD40" s="37"/>
      <c r="GE40" s="37"/>
      <c r="GF40" s="37"/>
      <c r="GG40" s="37"/>
      <c r="GH40" s="37"/>
      <c r="GI40" s="37"/>
      <c r="GJ40" s="37"/>
      <c r="GK40" s="37"/>
      <c r="GL40" s="37"/>
      <c r="GM40" s="37"/>
      <c r="GN40" s="37"/>
      <c r="GO40" s="37"/>
      <c r="GP40" s="37"/>
      <c r="GQ40" s="37"/>
      <c r="GR40" s="37"/>
      <c r="GS40" s="37"/>
      <c r="GT40" s="37"/>
      <c r="GU40" s="37"/>
      <c r="GV40" s="37"/>
      <c r="GW40" s="37"/>
      <c r="GX40" s="37"/>
      <c r="GY40" s="37"/>
      <c r="GZ40" s="37"/>
      <c r="HA40" s="37"/>
      <c r="HB40" s="37"/>
      <c r="HC40" s="37"/>
      <c r="HD40" s="37"/>
      <c r="HE40" s="37"/>
      <c r="HF40" s="37"/>
      <c r="HG40" s="37"/>
      <c r="HH40" s="37"/>
      <c r="HI40" s="37"/>
      <c r="HJ40" s="37"/>
      <c r="HK40" s="37"/>
      <c r="HL40" s="37"/>
      <c r="HM40" s="37"/>
      <c r="HN40" s="37"/>
      <c r="HO40" s="37"/>
      <c r="HP40" s="37"/>
      <c r="HQ40" s="37"/>
      <c r="HR40" s="37"/>
      <c r="HS40" s="37"/>
      <c r="HT40" s="37"/>
      <c r="HU40" s="37"/>
      <c r="HV40" s="37"/>
      <c r="HW40" s="37"/>
      <c r="HX40" s="37"/>
      <c r="HY40" s="37"/>
      <c r="HZ40" s="37"/>
      <c r="IA40" s="37"/>
      <c r="IB40" s="37"/>
      <c r="IC40" s="37"/>
      <c r="ID40" s="37"/>
      <c r="IE40" s="37"/>
      <c r="IF40" s="37"/>
      <c r="IG40" s="37"/>
      <c r="IH40" s="37"/>
      <c r="II40" s="37"/>
      <c r="IJ40" s="37"/>
      <c r="IK40" s="37"/>
      <c r="IL40" s="37"/>
      <c r="IM40" s="37"/>
      <c r="IN40" s="37"/>
      <c r="IO40" s="37"/>
      <c r="IP40" s="37"/>
      <c r="IQ40" s="37"/>
      <c r="IR40" s="37"/>
      <c r="IS40" s="37"/>
      <c r="IT40" s="37"/>
      <c r="IU40" s="37"/>
      <c r="IV40" s="37"/>
      <c r="IW40" s="37"/>
    </row>
    <row r="41" spans="1:257" ht="12.75" customHeight="1">
      <c r="A41" s="37"/>
      <c r="B41" s="131"/>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c r="CS41" s="37"/>
      <c r="CT41" s="37"/>
      <c r="CU41" s="37"/>
      <c r="CV41" s="37"/>
      <c r="CW41" s="37"/>
      <c r="CX41" s="37"/>
      <c r="CY41" s="37"/>
      <c r="CZ41" s="37"/>
      <c r="DA41" s="37"/>
      <c r="DB41" s="37"/>
      <c r="DC41" s="37"/>
      <c r="DD41" s="37"/>
      <c r="DE41" s="37"/>
      <c r="DF41" s="37"/>
      <c r="DG41" s="37"/>
      <c r="DH41" s="37"/>
      <c r="DI41" s="37"/>
      <c r="DJ41" s="37"/>
      <c r="DK41" s="37"/>
      <c r="DL41" s="37"/>
      <c r="DM41" s="37"/>
      <c r="DN41" s="37"/>
      <c r="DO41" s="37"/>
      <c r="DP41" s="37"/>
      <c r="DQ41" s="37"/>
      <c r="DR41" s="37"/>
      <c r="DS41" s="37"/>
      <c r="DT41" s="37"/>
      <c r="DU41" s="37"/>
      <c r="DV41" s="37"/>
      <c r="DW41" s="37"/>
      <c r="DX41" s="37"/>
      <c r="DY41" s="37"/>
      <c r="DZ41" s="37"/>
      <c r="EA41" s="37"/>
      <c r="EB41" s="37"/>
      <c r="EC41" s="37"/>
      <c r="ED41" s="37"/>
      <c r="EE41" s="37"/>
      <c r="EF41" s="37"/>
      <c r="EG41" s="37"/>
      <c r="EH41" s="37"/>
      <c r="EI41" s="37"/>
      <c r="EJ41" s="37"/>
      <c r="EK41" s="37"/>
      <c r="EL41" s="37"/>
      <c r="EM41" s="37"/>
      <c r="EN41" s="37"/>
      <c r="EO41" s="37"/>
      <c r="EP41" s="37"/>
      <c r="EQ41" s="37"/>
      <c r="ER41" s="37"/>
      <c r="ES41" s="37"/>
      <c r="ET41" s="37"/>
      <c r="EU41" s="37"/>
      <c r="EV41" s="37"/>
      <c r="EW41" s="37"/>
      <c r="EX41" s="37"/>
      <c r="EY41" s="37"/>
      <c r="EZ41" s="37"/>
      <c r="FA41" s="37"/>
      <c r="FB41" s="37"/>
      <c r="FC41" s="37"/>
      <c r="FD41" s="37"/>
      <c r="FE41" s="37"/>
      <c r="FF41" s="37"/>
      <c r="FG41" s="37"/>
      <c r="FH41" s="37"/>
      <c r="FI41" s="37"/>
      <c r="FJ41" s="37"/>
      <c r="FK41" s="37"/>
      <c r="FL41" s="37"/>
      <c r="FM41" s="37"/>
      <c r="FN41" s="37"/>
      <c r="FO41" s="37"/>
      <c r="FP41" s="37"/>
      <c r="FQ41" s="37"/>
      <c r="FR41" s="37"/>
      <c r="FS41" s="37"/>
      <c r="FT41" s="37"/>
      <c r="FU41" s="37"/>
      <c r="FV41" s="37"/>
      <c r="FW41" s="37"/>
      <c r="FX41" s="37"/>
      <c r="FY41" s="37"/>
      <c r="FZ41" s="37"/>
      <c r="GA41" s="37"/>
      <c r="GB41" s="37"/>
      <c r="GC41" s="37"/>
      <c r="GD41" s="37"/>
      <c r="GE41" s="37"/>
      <c r="GF41" s="37"/>
      <c r="GG41" s="37"/>
      <c r="GH41" s="37"/>
      <c r="GI41" s="37"/>
      <c r="GJ41" s="37"/>
      <c r="GK41" s="37"/>
      <c r="GL41" s="37"/>
      <c r="GM41" s="37"/>
      <c r="GN41" s="37"/>
      <c r="GO41" s="37"/>
      <c r="GP41" s="37"/>
      <c r="GQ41" s="37"/>
      <c r="GR41" s="37"/>
      <c r="GS41" s="37"/>
      <c r="GT41" s="37"/>
      <c r="GU41" s="37"/>
      <c r="GV41" s="37"/>
      <c r="GW41" s="37"/>
      <c r="GX41" s="37"/>
      <c r="GY41" s="37"/>
      <c r="GZ41" s="37"/>
      <c r="HA41" s="37"/>
      <c r="HB41" s="37"/>
      <c r="HC41" s="37"/>
      <c r="HD41" s="37"/>
      <c r="HE41" s="37"/>
      <c r="HF41" s="37"/>
      <c r="HG41" s="37"/>
      <c r="HH41" s="37"/>
      <c r="HI41" s="37"/>
      <c r="HJ41" s="37"/>
      <c r="HK41" s="37"/>
      <c r="HL41" s="37"/>
      <c r="HM41" s="37"/>
      <c r="HN41" s="37"/>
      <c r="HO41" s="37"/>
      <c r="HP41" s="37"/>
      <c r="HQ41" s="37"/>
      <c r="HR41" s="37"/>
      <c r="HS41" s="37"/>
      <c r="HT41" s="37"/>
      <c r="HU41" s="37"/>
      <c r="HV41" s="37"/>
      <c r="HW41" s="37"/>
      <c r="HX41" s="37"/>
      <c r="HY41" s="37"/>
      <c r="HZ41" s="37"/>
      <c r="IA41" s="37"/>
      <c r="IB41" s="37"/>
      <c r="IC41" s="37"/>
      <c r="ID41" s="37"/>
      <c r="IE41" s="37"/>
      <c r="IF41" s="37"/>
      <c r="IG41" s="37"/>
      <c r="IH41" s="37"/>
      <c r="II41" s="37"/>
      <c r="IJ41" s="37"/>
      <c r="IK41" s="37"/>
      <c r="IL41" s="37"/>
      <c r="IM41" s="37"/>
      <c r="IN41" s="37"/>
      <c r="IO41" s="37"/>
      <c r="IP41" s="37"/>
      <c r="IQ41" s="37"/>
      <c r="IR41" s="37"/>
      <c r="IS41" s="37"/>
      <c r="IT41" s="37"/>
      <c r="IU41" s="37"/>
      <c r="IV41" s="37"/>
      <c r="IW41" s="37"/>
    </row>
    <row r="42" spans="1:257" ht="12.75" customHeight="1">
      <c r="A42" s="37"/>
      <c r="B42" s="131"/>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c r="DA42" s="37"/>
      <c r="DB42" s="37"/>
      <c r="DC42" s="37"/>
      <c r="DD42" s="37"/>
      <c r="DE42" s="37"/>
      <c r="DF42" s="37"/>
      <c r="DG42" s="37"/>
      <c r="DH42" s="37"/>
      <c r="DI42" s="37"/>
      <c r="DJ42" s="37"/>
      <c r="DK42" s="37"/>
      <c r="DL42" s="37"/>
      <c r="DM42" s="37"/>
      <c r="DN42" s="37"/>
      <c r="DO42" s="37"/>
      <c r="DP42" s="37"/>
      <c r="DQ42" s="37"/>
      <c r="DR42" s="37"/>
      <c r="DS42" s="37"/>
      <c r="DT42" s="37"/>
      <c r="DU42" s="37"/>
      <c r="DV42" s="37"/>
      <c r="DW42" s="37"/>
      <c r="DX42" s="37"/>
      <c r="DY42" s="37"/>
      <c r="DZ42" s="37"/>
      <c r="EA42" s="37"/>
      <c r="EB42" s="37"/>
      <c r="EC42" s="37"/>
      <c r="ED42" s="37"/>
      <c r="EE42" s="37"/>
      <c r="EF42" s="37"/>
      <c r="EG42" s="37"/>
      <c r="EH42" s="37"/>
      <c r="EI42" s="37"/>
      <c r="EJ42" s="37"/>
      <c r="EK42" s="37"/>
      <c r="EL42" s="37"/>
      <c r="EM42" s="37"/>
      <c r="EN42" s="37"/>
      <c r="EO42" s="37"/>
      <c r="EP42" s="37"/>
      <c r="EQ42" s="37"/>
      <c r="ER42" s="37"/>
      <c r="ES42" s="37"/>
      <c r="ET42" s="37"/>
      <c r="EU42" s="37"/>
      <c r="EV42" s="37"/>
      <c r="EW42" s="37"/>
      <c r="EX42" s="37"/>
      <c r="EY42" s="37"/>
      <c r="EZ42" s="37"/>
      <c r="FA42" s="37"/>
      <c r="FB42" s="37"/>
      <c r="FC42" s="37"/>
      <c r="FD42" s="37"/>
      <c r="FE42" s="37"/>
      <c r="FF42" s="37"/>
      <c r="FG42" s="37"/>
      <c r="FH42" s="37"/>
      <c r="FI42" s="37"/>
      <c r="FJ42" s="37"/>
      <c r="FK42" s="37"/>
      <c r="FL42" s="37"/>
      <c r="FM42" s="37"/>
      <c r="FN42" s="37"/>
      <c r="FO42" s="37"/>
      <c r="FP42" s="37"/>
      <c r="FQ42" s="37"/>
      <c r="FR42" s="37"/>
      <c r="FS42" s="37"/>
      <c r="FT42" s="37"/>
      <c r="FU42" s="37"/>
      <c r="FV42" s="37"/>
      <c r="FW42" s="37"/>
      <c r="FX42" s="37"/>
      <c r="FY42" s="37"/>
      <c r="FZ42" s="37"/>
      <c r="GA42" s="37"/>
      <c r="GB42" s="37"/>
      <c r="GC42" s="37"/>
      <c r="GD42" s="37"/>
      <c r="GE42" s="37"/>
      <c r="GF42" s="37"/>
      <c r="GG42" s="37"/>
      <c r="GH42" s="37"/>
      <c r="GI42" s="37"/>
      <c r="GJ42" s="37"/>
      <c r="GK42" s="37"/>
      <c r="GL42" s="37"/>
      <c r="GM42" s="37"/>
      <c r="GN42" s="37"/>
      <c r="GO42" s="37"/>
      <c r="GP42" s="37"/>
      <c r="GQ42" s="37"/>
      <c r="GR42" s="37"/>
      <c r="GS42" s="37"/>
      <c r="GT42" s="37"/>
      <c r="GU42" s="37"/>
      <c r="GV42" s="37"/>
      <c r="GW42" s="37"/>
      <c r="GX42" s="37"/>
      <c r="GY42" s="37"/>
      <c r="GZ42" s="37"/>
      <c r="HA42" s="37"/>
      <c r="HB42" s="37"/>
      <c r="HC42" s="37"/>
      <c r="HD42" s="37"/>
      <c r="HE42" s="37"/>
      <c r="HF42" s="37"/>
      <c r="HG42" s="37"/>
      <c r="HH42" s="37"/>
      <c r="HI42" s="37"/>
      <c r="HJ42" s="37"/>
      <c r="HK42" s="37"/>
      <c r="HL42" s="37"/>
      <c r="HM42" s="37"/>
      <c r="HN42" s="37"/>
      <c r="HO42" s="37"/>
      <c r="HP42" s="37"/>
      <c r="HQ42" s="37"/>
      <c r="HR42" s="37"/>
      <c r="HS42" s="37"/>
      <c r="HT42" s="37"/>
      <c r="HU42" s="37"/>
      <c r="HV42" s="37"/>
      <c r="HW42" s="37"/>
      <c r="HX42" s="37"/>
      <c r="HY42" s="37"/>
      <c r="HZ42" s="37"/>
      <c r="IA42" s="37"/>
      <c r="IB42" s="37"/>
      <c r="IC42" s="37"/>
      <c r="ID42" s="37"/>
      <c r="IE42" s="37"/>
      <c r="IF42" s="37"/>
      <c r="IG42" s="37"/>
      <c r="IH42" s="37"/>
      <c r="II42" s="37"/>
      <c r="IJ42" s="37"/>
      <c r="IK42" s="37"/>
      <c r="IL42" s="37"/>
      <c r="IM42" s="37"/>
      <c r="IN42" s="37"/>
      <c r="IO42" s="37"/>
      <c r="IP42" s="37"/>
      <c r="IQ42" s="37"/>
      <c r="IR42" s="37"/>
      <c r="IS42" s="37"/>
      <c r="IT42" s="37"/>
      <c r="IU42" s="37"/>
      <c r="IV42" s="37"/>
      <c r="IW42" s="37"/>
    </row>
    <row r="43" spans="1:257" ht="12.75" customHeight="1">
      <c r="A43" s="37"/>
      <c r="B43" s="131"/>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c r="CW43" s="37"/>
      <c r="CX43" s="37"/>
      <c r="CY43" s="37"/>
      <c r="CZ43" s="37"/>
      <c r="DA43" s="37"/>
      <c r="DB43" s="37"/>
      <c r="DC43" s="37"/>
      <c r="DD43" s="37"/>
      <c r="DE43" s="37"/>
      <c r="DF43" s="37"/>
      <c r="DG43" s="37"/>
      <c r="DH43" s="37"/>
      <c r="DI43" s="37"/>
      <c r="DJ43" s="37"/>
      <c r="DK43" s="37"/>
      <c r="DL43" s="37"/>
      <c r="DM43" s="37"/>
      <c r="DN43" s="37"/>
      <c r="DO43" s="37"/>
      <c r="DP43" s="37"/>
      <c r="DQ43" s="37"/>
      <c r="DR43" s="37"/>
      <c r="DS43" s="37"/>
      <c r="DT43" s="37"/>
      <c r="DU43" s="37"/>
      <c r="DV43" s="37"/>
      <c r="DW43" s="37"/>
      <c r="DX43" s="37"/>
      <c r="DY43" s="37"/>
      <c r="DZ43" s="37"/>
      <c r="EA43" s="37"/>
      <c r="EB43" s="37"/>
      <c r="EC43" s="37"/>
      <c r="ED43" s="37"/>
      <c r="EE43" s="37"/>
      <c r="EF43" s="37"/>
      <c r="EG43" s="37"/>
      <c r="EH43" s="37"/>
      <c r="EI43" s="37"/>
      <c r="EJ43" s="37"/>
      <c r="EK43" s="37"/>
      <c r="EL43" s="37"/>
      <c r="EM43" s="37"/>
      <c r="EN43" s="37"/>
      <c r="EO43" s="37"/>
      <c r="EP43" s="37"/>
      <c r="EQ43" s="37"/>
      <c r="ER43" s="37"/>
      <c r="ES43" s="37"/>
      <c r="ET43" s="37"/>
      <c r="EU43" s="37"/>
      <c r="EV43" s="37"/>
      <c r="EW43" s="37"/>
      <c r="EX43" s="37"/>
      <c r="EY43" s="37"/>
      <c r="EZ43" s="37"/>
      <c r="FA43" s="37"/>
      <c r="FB43" s="37"/>
      <c r="FC43" s="37"/>
      <c r="FD43" s="37"/>
      <c r="FE43" s="37"/>
      <c r="FF43" s="37"/>
      <c r="FG43" s="37"/>
      <c r="FH43" s="37"/>
      <c r="FI43" s="37"/>
      <c r="FJ43" s="37"/>
      <c r="FK43" s="37"/>
      <c r="FL43" s="37"/>
      <c r="FM43" s="37"/>
      <c r="FN43" s="37"/>
      <c r="FO43" s="37"/>
      <c r="FP43" s="37"/>
      <c r="FQ43" s="37"/>
      <c r="FR43" s="37"/>
      <c r="FS43" s="37"/>
      <c r="FT43" s="37"/>
      <c r="FU43" s="37"/>
      <c r="FV43" s="37"/>
      <c r="FW43" s="37"/>
      <c r="FX43" s="37"/>
      <c r="FY43" s="37"/>
      <c r="FZ43" s="37"/>
      <c r="GA43" s="37"/>
      <c r="GB43" s="37"/>
      <c r="GC43" s="37"/>
      <c r="GD43" s="37"/>
      <c r="GE43" s="37"/>
      <c r="GF43" s="37"/>
      <c r="GG43" s="37"/>
      <c r="GH43" s="37"/>
      <c r="GI43" s="37"/>
      <c r="GJ43" s="37"/>
      <c r="GK43" s="37"/>
      <c r="GL43" s="37"/>
      <c r="GM43" s="37"/>
      <c r="GN43" s="37"/>
      <c r="GO43" s="37"/>
      <c r="GP43" s="37"/>
      <c r="GQ43" s="37"/>
      <c r="GR43" s="37"/>
      <c r="GS43" s="37"/>
      <c r="GT43" s="37"/>
      <c r="GU43" s="37"/>
      <c r="GV43" s="37"/>
      <c r="GW43" s="37"/>
      <c r="GX43" s="37"/>
      <c r="GY43" s="37"/>
      <c r="GZ43" s="37"/>
      <c r="HA43" s="37"/>
      <c r="HB43" s="37"/>
      <c r="HC43" s="37"/>
      <c r="HD43" s="37"/>
      <c r="HE43" s="37"/>
      <c r="HF43" s="37"/>
      <c r="HG43" s="37"/>
      <c r="HH43" s="37"/>
      <c r="HI43" s="37"/>
      <c r="HJ43" s="37"/>
      <c r="HK43" s="37"/>
      <c r="HL43" s="37"/>
      <c r="HM43" s="37"/>
      <c r="HN43" s="37"/>
      <c r="HO43" s="37"/>
      <c r="HP43" s="37"/>
      <c r="HQ43" s="37"/>
      <c r="HR43" s="37"/>
      <c r="HS43" s="37"/>
      <c r="HT43" s="37"/>
      <c r="HU43" s="37"/>
      <c r="HV43" s="37"/>
      <c r="HW43" s="37"/>
      <c r="HX43" s="37"/>
      <c r="HY43" s="37"/>
      <c r="HZ43" s="37"/>
      <c r="IA43" s="37"/>
      <c r="IB43" s="37"/>
      <c r="IC43" s="37"/>
      <c r="ID43" s="37"/>
      <c r="IE43" s="37"/>
      <c r="IF43" s="37"/>
      <c r="IG43" s="37"/>
      <c r="IH43" s="37"/>
      <c r="II43" s="37"/>
      <c r="IJ43" s="37"/>
      <c r="IK43" s="37"/>
      <c r="IL43" s="37"/>
      <c r="IM43" s="37"/>
      <c r="IN43" s="37"/>
      <c r="IO43" s="37"/>
      <c r="IP43" s="37"/>
      <c r="IQ43" s="37"/>
      <c r="IR43" s="37"/>
      <c r="IS43" s="37"/>
      <c r="IT43" s="37"/>
      <c r="IU43" s="37"/>
      <c r="IV43" s="37"/>
      <c r="IW43" s="37"/>
    </row>
    <row r="44" spans="1:257" ht="12.75" customHeight="1">
      <c r="A44" s="37"/>
      <c r="B44" s="131"/>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c r="CW44" s="37"/>
      <c r="CX44" s="37"/>
      <c r="CY44" s="37"/>
      <c r="CZ44" s="37"/>
      <c r="DA44" s="37"/>
      <c r="DB44" s="37"/>
      <c r="DC44" s="37"/>
      <c r="DD44" s="37"/>
      <c r="DE44" s="37"/>
      <c r="DF44" s="37"/>
      <c r="DG44" s="37"/>
      <c r="DH44" s="37"/>
      <c r="DI44" s="37"/>
      <c r="DJ44" s="37"/>
      <c r="DK44" s="37"/>
      <c r="DL44" s="37"/>
      <c r="DM44" s="37"/>
      <c r="DN44" s="37"/>
      <c r="DO44" s="37"/>
      <c r="DP44" s="37"/>
      <c r="DQ44" s="37"/>
      <c r="DR44" s="37"/>
      <c r="DS44" s="37"/>
      <c r="DT44" s="37"/>
      <c r="DU44" s="37"/>
      <c r="DV44" s="37"/>
      <c r="DW44" s="37"/>
      <c r="DX44" s="37"/>
      <c r="DY44" s="37"/>
      <c r="DZ44" s="37"/>
      <c r="EA44" s="37"/>
      <c r="EB44" s="37"/>
      <c r="EC44" s="37"/>
      <c r="ED44" s="37"/>
      <c r="EE44" s="37"/>
      <c r="EF44" s="37"/>
      <c r="EG44" s="37"/>
      <c r="EH44" s="37"/>
      <c r="EI44" s="37"/>
      <c r="EJ44" s="37"/>
      <c r="EK44" s="37"/>
      <c r="EL44" s="37"/>
      <c r="EM44" s="37"/>
      <c r="EN44" s="37"/>
      <c r="EO44" s="37"/>
      <c r="EP44" s="37"/>
      <c r="EQ44" s="37"/>
      <c r="ER44" s="37"/>
      <c r="ES44" s="37"/>
      <c r="ET44" s="37"/>
      <c r="EU44" s="37"/>
      <c r="EV44" s="37"/>
      <c r="EW44" s="37"/>
      <c r="EX44" s="37"/>
      <c r="EY44" s="37"/>
      <c r="EZ44" s="37"/>
      <c r="FA44" s="37"/>
      <c r="FB44" s="37"/>
      <c r="FC44" s="37"/>
      <c r="FD44" s="37"/>
      <c r="FE44" s="37"/>
      <c r="FF44" s="37"/>
      <c r="FG44" s="37"/>
      <c r="FH44" s="37"/>
      <c r="FI44" s="37"/>
      <c r="FJ44" s="37"/>
      <c r="FK44" s="37"/>
      <c r="FL44" s="37"/>
      <c r="FM44" s="37"/>
      <c r="FN44" s="37"/>
      <c r="FO44" s="37"/>
      <c r="FP44" s="37"/>
      <c r="FQ44" s="37"/>
      <c r="FR44" s="37"/>
      <c r="FS44" s="37"/>
      <c r="FT44" s="37"/>
      <c r="FU44" s="37"/>
      <c r="FV44" s="37"/>
      <c r="FW44" s="37"/>
      <c r="FX44" s="37"/>
      <c r="FY44" s="37"/>
      <c r="FZ44" s="37"/>
      <c r="GA44" s="37"/>
      <c r="GB44" s="37"/>
      <c r="GC44" s="37"/>
      <c r="GD44" s="37"/>
      <c r="GE44" s="37"/>
      <c r="GF44" s="37"/>
      <c r="GG44" s="37"/>
      <c r="GH44" s="37"/>
      <c r="GI44" s="37"/>
      <c r="GJ44" s="37"/>
      <c r="GK44" s="37"/>
      <c r="GL44" s="37"/>
      <c r="GM44" s="37"/>
      <c r="GN44" s="37"/>
      <c r="GO44" s="37"/>
      <c r="GP44" s="37"/>
      <c r="GQ44" s="37"/>
      <c r="GR44" s="37"/>
      <c r="GS44" s="37"/>
      <c r="GT44" s="37"/>
      <c r="GU44" s="37"/>
      <c r="GV44" s="37"/>
      <c r="GW44" s="37"/>
      <c r="GX44" s="37"/>
      <c r="GY44" s="37"/>
      <c r="GZ44" s="37"/>
      <c r="HA44" s="37"/>
      <c r="HB44" s="37"/>
      <c r="HC44" s="37"/>
      <c r="HD44" s="37"/>
      <c r="HE44" s="37"/>
      <c r="HF44" s="37"/>
      <c r="HG44" s="37"/>
      <c r="HH44" s="37"/>
      <c r="HI44" s="37"/>
      <c r="HJ44" s="37"/>
      <c r="HK44" s="37"/>
      <c r="HL44" s="37"/>
      <c r="HM44" s="37"/>
      <c r="HN44" s="37"/>
      <c r="HO44" s="37"/>
      <c r="HP44" s="37"/>
      <c r="HQ44" s="37"/>
      <c r="HR44" s="37"/>
      <c r="HS44" s="37"/>
      <c r="HT44" s="37"/>
      <c r="HU44" s="37"/>
      <c r="HV44" s="37"/>
      <c r="HW44" s="37"/>
      <c r="HX44" s="37"/>
      <c r="HY44" s="37"/>
      <c r="HZ44" s="37"/>
      <c r="IA44" s="37"/>
      <c r="IB44" s="37"/>
      <c r="IC44" s="37"/>
      <c r="ID44" s="37"/>
      <c r="IE44" s="37"/>
      <c r="IF44" s="37"/>
      <c r="IG44" s="37"/>
      <c r="IH44" s="37"/>
      <c r="II44" s="37"/>
      <c r="IJ44" s="37"/>
      <c r="IK44" s="37"/>
      <c r="IL44" s="37"/>
      <c r="IM44" s="37"/>
      <c r="IN44" s="37"/>
      <c r="IO44" s="37"/>
      <c r="IP44" s="37"/>
      <c r="IQ44" s="37"/>
      <c r="IR44" s="37"/>
      <c r="IS44" s="37"/>
      <c r="IT44" s="37"/>
      <c r="IU44" s="37"/>
      <c r="IV44" s="37"/>
      <c r="IW44" s="37"/>
    </row>
    <row r="45" spans="1:257" ht="12.75" customHeight="1">
      <c r="A45" s="37"/>
      <c r="B45" s="131"/>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7"/>
      <c r="CF45" s="37"/>
      <c r="CG45" s="37"/>
      <c r="CH45" s="37"/>
      <c r="CI45" s="37"/>
      <c r="CJ45" s="37"/>
      <c r="CK45" s="37"/>
      <c r="CL45" s="37"/>
      <c r="CM45" s="37"/>
      <c r="CN45" s="37"/>
      <c r="CO45" s="37"/>
      <c r="CP45" s="37"/>
      <c r="CQ45" s="37"/>
      <c r="CR45" s="37"/>
      <c r="CS45" s="37"/>
      <c r="CT45" s="37"/>
      <c r="CU45" s="37"/>
      <c r="CV45" s="37"/>
      <c r="CW45" s="37"/>
      <c r="CX45" s="37"/>
      <c r="CY45" s="37"/>
      <c r="CZ45" s="37"/>
      <c r="DA45" s="37"/>
      <c r="DB45" s="37"/>
      <c r="DC45" s="37"/>
      <c r="DD45" s="37"/>
      <c r="DE45" s="37"/>
      <c r="DF45" s="37"/>
      <c r="DG45" s="37"/>
      <c r="DH45" s="37"/>
      <c r="DI45" s="37"/>
      <c r="DJ45" s="37"/>
      <c r="DK45" s="37"/>
      <c r="DL45" s="37"/>
      <c r="DM45" s="37"/>
      <c r="DN45" s="37"/>
      <c r="DO45" s="37"/>
      <c r="DP45" s="37"/>
      <c r="DQ45" s="37"/>
      <c r="DR45" s="37"/>
      <c r="DS45" s="37"/>
      <c r="DT45" s="37"/>
      <c r="DU45" s="37"/>
      <c r="DV45" s="37"/>
      <c r="DW45" s="37"/>
      <c r="DX45" s="37"/>
      <c r="DY45" s="37"/>
      <c r="DZ45" s="37"/>
      <c r="EA45" s="37"/>
      <c r="EB45" s="37"/>
      <c r="EC45" s="37"/>
      <c r="ED45" s="37"/>
      <c r="EE45" s="37"/>
      <c r="EF45" s="37"/>
      <c r="EG45" s="37"/>
      <c r="EH45" s="37"/>
      <c r="EI45" s="37"/>
      <c r="EJ45" s="37"/>
      <c r="EK45" s="37"/>
      <c r="EL45" s="37"/>
      <c r="EM45" s="37"/>
      <c r="EN45" s="37"/>
      <c r="EO45" s="37"/>
      <c r="EP45" s="37"/>
      <c r="EQ45" s="37"/>
      <c r="ER45" s="37"/>
      <c r="ES45" s="37"/>
      <c r="ET45" s="37"/>
      <c r="EU45" s="37"/>
      <c r="EV45" s="37"/>
      <c r="EW45" s="37"/>
      <c r="EX45" s="37"/>
      <c r="EY45" s="37"/>
      <c r="EZ45" s="37"/>
      <c r="FA45" s="37"/>
      <c r="FB45" s="37"/>
      <c r="FC45" s="37"/>
      <c r="FD45" s="37"/>
      <c r="FE45" s="37"/>
      <c r="FF45" s="37"/>
      <c r="FG45" s="37"/>
      <c r="FH45" s="37"/>
      <c r="FI45" s="37"/>
      <c r="FJ45" s="37"/>
      <c r="FK45" s="37"/>
      <c r="FL45" s="37"/>
      <c r="FM45" s="37"/>
      <c r="FN45" s="37"/>
      <c r="FO45" s="37"/>
      <c r="FP45" s="37"/>
      <c r="FQ45" s="37"/>
      <c r="FR45" s="37"/>
      <c r="FS45" s="37"/>
      <c r="FT45" s="37"/>
      <c r="FU45" s="37"/>
      <c r="FV45" s="37"/>
      <c r="FW45" s="37"/>
      <c r="FX45" s="37"/>
      <c r="FY45" s="37"/>
      <c r="FZ45" s="37"/>
      <c r="GA45" s="37"/>
      <c r="GB45" s="37"/>
      <c r="GC45" s="37"/>
      <c r="GD45" s="37"/>
      <c r="GE45" s="37"/>
      <c r="GF45" s="37"/>
      <c r="GG45" s="37"/>
      <c r="GH45" s="37"/>
      <c r="GI45" s="37"/>
      <c r="GJ45" s="37"/>
      <c r="GK45" s="37"/>
      <c r="GL45" s="37"/>
      <c r="GM45" s="37"/>
      <c r="GN45" s="37"/>
      <c r="GO45" s="37"/>
      <c r="GP45" s="37"/>
      <c r="GQ45" s="37"/>
      <c r="GR45" s="37"/>
      <c r="GS45" s="37"/>
      <c r="GT45" s="37"/>
      <c r="GU45" s="37"/>
      <c r="GV45" s="37"/>
      <c r="GW45" s="37"/>
      <c r="GX45" s="37"/>
      <c r="GY45" s="37"/>
      <c r="GZ45" s="37"/>
      <c r="HA45" s="37"/>
      <c r="HB45" s="37"/>
      <c r="HC45" s="37"/>
      <c r="HD45" s="37"/>
      <c r="HE45" s="37"/>
      <c r="HF45" s="37"/>
      <c r="HG45" s="37"/>
      <c r="HH45" s="37"/>
      <c r="HI45" s="37"/>
      <c r="HJ45" s="37"/>
      <c r="HK45" s="37"/>
      <c r="HL45" s="37"/>
      <c r="HM45" s="37"/>
      <c r="HN45" s="37"/>
      <c r="HO45" s="37"/>
      <c r="HP45" s="37"/>
      <c r="HQ45" s="37"/>
      <c r="HR45" s="37"/>
      <c r="HS45" s="37"/>
      <c r="HT45" s="37"/>
      <c r="HU45" s="37"/>
      <c r="HV45" s="37"/>
      <c r="HW45" s="37"/>
      <c r="HX45" s="37"/>
      <c r="HY45" s="37"/>
      <c r="HZ45" s="37"/>
      <c r="IA45" s="37"/>
      <c r="IB45" s="37"/>
      <c r="IC45" s="37"/>
      <c r="ID45" s="37"/>
      <c r="IE45" s="37"/>
      <c r="IF45" s="37"/>
      <c r="IG45" s="37"/>
      <c r="IH45" s="37"/>
      <c r="II45" s="37"/>
      <c r="IJ45" s="37"/>
      <c r="IK45" s="37"/>
      <c r="IL45" s="37"/>
      <c r="IM45" s="37"/>
      <c r="IN45" s="37"/>
      <c r="IO45" s="37"/>
      <c r="IP45" s="37"/>
      <c r="IQ45" s="37"/>
      <c r="IR45" s="37"/>
      <c r="IS45" s="37"/>
      <c r="IT45" s="37"/>
      <c r="IU45" s="37"/>
      <c r="IV45" s="37"/>
      <c r="IW45" s="37"/>
    </row>
    <row r="46" spans="1:257" ht="12.75" customHeight="1">
      <c r="A46" s="37"/>
      <c r="B46" s="131"/>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7"/>
      <c r="CF46" s="37"/>
      <c r="CG46" s="37"/>
      <c r="CH46" s="37"/>
      <c r="CI46" s="37"/>
      <c r="CJ46" s="37"/>
      <c r="CK46" s="37"/>
      <c r="CL46" s="37"/>
      <c r="CM46" s="37"/>
      <c r="CN46" s="37"/>
      <c r="CO46" s="37"/>
      <c r="CP46" s="37"/>
      <c r="CQ46" s="37"/>
      <c r="CR46" s="37"/>
      <c r="CS46" s="37"/>
      <c r="CT46" s="37"/>
      <c r="CU46" s="37"/>
      <c r="CV46" s="37"/>
      <c r="CW46" s="37"/>
      <c r="CX46" s="37"/>
      <c r="CY46" s="37"/>
      <c r="CZ46" s="37"/>
      <c r="DA46" s="37"/>
      <c r="DB46" s="37"/>
      <c r="DC46" s="37"/>
      <c r="DD46" s="37"/>
      <c r="DE46" s="37"/>
      <c r="DF46" s="37"/>
      <c r="DG46" s="37"/>
      <c r="DH46" s="37"/>
      <c r="DI46" s="37"/>
      <c r="DJ46" s="37"/>
      <c r="DK46" s="37"/>
      <c r="DL46" s="37"/>
      <c r="DM46" s="37"/>
      <c r="DN46" s="37"/>
      <c r="DO46" s="37"/>
      <c r="DP46" s="37"/>
      <c r="DQ46" s="37"/>
      <c r="DR46" s="37"/>
      <c r="DS46" s="37"/>
      <c r="DT46" s="37"/>
      <c r="DU46" s="37"/>
      <c r="DV46" s="37"/>
      <c r="DW46" s="37"/>
      <c r="DX46" s="37"/>
      <c r="DY46" s="37"/>
      <c r="DZ46" s="37"/>
      <c r="EA46" s="37"/>
      <c r="EB46" s="37"/>
      <c r="EC46" s="37"/>
      <c r="ED46" s="37"/>
      <c r="EE46" s="37"/>
      <c r="EF46" s="37"/>
      <c r="EG46" s="37"/>
      <c r="EH46" s="37"/>
      <c r="EI46" s="37"/>
      <c r="EJ46" s="37"/>
      <c r="EK46" s="37"/>
      <c r="EL46" s="37"/>
      <c r="EM46" s="37"/>
      <c r="EN46" s="37"/>
      <c r="EO46" s="37"/>
      <c r="EP46" s="37"/>
      <c r="EQ46" s="37"/>
      <c r="ER46" s="37"/>
      <c r="ES46" s="37"/>
      <c r="ET46" s="37"/>
      <c r="EU46" s="37"/>
      <c r="EV46" s="37"/>
      <c r="EW46" s="37"/>
      <c r="EX46" s="37"/>
      <c r="EY46" s="37"/>
      <c r="EZ46" s="37"/>
      <c r="FA46" s="37"/>
      <c r="FB46" s="37"/>
      <c r="FC46" s="37"/>
      <c r="FD46" s="37"/>
      <c r="FE46" s="37"/>
      <c r="FF46" s="37"/>
      <c r="FG46" s="37"/>
      <c r="FH46" s="37"/>
      <c r="FI46" s="37"/>
      <c r="FJ46" s="37"/>
      <c r="FK46" s="37"/>
      <c r="FL46" s="37"/>
      <c r="FM46" s="37"/>
      <c r="FN46" s="37"/>
      <c r="FO46" s="37"/>
      <c r="FP46" s="37"/>
      <c r="FQ46" s="37"/>
      <c r="FR46" s="37"/>
      <c r="FS46" s="37"/>
      <c r="FT46" s="37"/>
      <c r="FU46" s="37"/>
      <c r="FV46" s="37"/>
      <c r="FW46" s="37"/>
      <c r="FX46" s="37"/>
      <c r="FY46" s="37"/>
      <c r="FZ46" s="37"/>
      <c r="GA46" s="37"/>
      <c r="GB46" s="37"/>
      <c r="GC46" s="37"/>
      <c r="GD46" s="37"/>
      <c r="GE46" s="37"/>
      <c r="GF46" s="37"/>
      <c r="GG46" s="37"/>
      <c r="GH46" s="37"/>
      <c r="GI46" s="37"/>
      <c r="GJ46" s="37"/>
      <c r="GK46" s="37"/>
      <c r="GL46" s="37"/>
      <c r="GM46" s="37"/>
      <c r="GN46" s="37"/>
      <c r="GO46" s="37"/>
      <c r="GP46" s="37"/>
      <c r="GQ46" s="37"/>
      <c r="GR46" s="37"/>
      <c r="GS46" s="37"/>
      <c r="GT46" s="37"/>
      <c r="GU46" s="37"/>
      <c r="GV46" s="37"/>
      <c r="GW46" s="37"/>
      <c r="GX46" s="37"/>
      <c r="GY46" s="37"/>
      <c r="GZ46" s="37"/>
      <c r="HA46" s="37"/>
      <c r="HB46" s="37"/>
      <c r="HC46" s="37"/>
      <c r="HD46" s="37"/>
      <c r="HE46" s="37"/>
      <c r="HF46" s="37"/>
      <c r="HG46" s="37"/>
      <c r="HH46" s="37"/>
      <c r="HI46" s="37"/>
      <c r="HJ46" s="37"/>
      <c r="HK46" s="37"/>
      <c r="HL46" s="37"/>
      <c r="HM46" s="37"/>
      <c r="HN46" s="37"/>
      <c r="HO46" s="37"/>
      <c r="HP46" s="37"/>
      <c r="HQ46" s="37"/>
      <c r="HR46" s="37"/>
      <c r="HS46" s="37"/>
      <c r="HT46" s="37"/>
      <c r="HU46" s="37"/>
      <c r="HV46" s="37"/>
      <c r="HW46" s="37"/>
      <c r="HX46" s="37"/>
      <c r="HY46" s="37"/>
      <c r="HZ46" s="37"/>
      <c r="IA46" s="37"/>
      <c r="IB46" s="37"/>
      <c r="IC46" s="37"/>
      <c r="ID46" s="37"/>
      <c r="IE46" s="37"/>
      <c r="IF46" s="37"/>
      <c r="IG46" s="37"/>
      <c r="IH46" s="37"/>
      <c r="II46" s="37"/>
      <c r="IJ46" s="37"/>
      <c r="IK46" s="37"/>
      <c r="IL46" s="37"/>
      <c r="IM46" s="37"/>
      <c r="IN46" s="37"/>
      <c r="IO46" s="37"/>
      <c r="IP46" s="37"/>
      <c r="IQ46" s="37"/>
      <c r="IR46" s="37"/>
      <c r="IS46" s="37"/>
      <c r="IT46" s="37"/>
      <c r="IU46" s="37"/>
      <c r="IV46" s="37"/>
      <c r="IW46" s="37"/>
    </row>
    <row r="47" spans="1:257" ht="12.75" customHeight="1">
      <c r="A47" s="37"/>
      <c r="B47" s="131"/>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c r="BY47" s="37"/>
      <c r="BZ47" s="37"/>
      <c r="CA47" s="37"/>
      <c r="CB47" s="37"/>
      <c r="CC47" s="37"/>
      <c r="CD47" s="37"/>
      <c r="CE47" s="37"/>
      <c r="CF47" s="37"/>
      <c r="CG47" s="37"/>
      <c r="CH47" s="37"/>
      <c r="CI47" s="37"/>
      <c r="CJ47" s="37"/>
      <c r="CK47" s="37"/>
      <c r="CL47" s="37"/>
      <c r="CM47" s="37"/>
      <c r="CN47" s="37"/>
      <c r="CO47" s="37"/>
      <c r="CP47" s="37"/>
      <c r="CQ47" s="37"/>
      <c r="CR47" s="37"/>
      <c r="CS47" s="37"/>
      <c r="CT47" s="37"/>
      <c r="CU47" s="37"/>
      <c r="CV47" s="37"/>
      <c r="CW47" s="37"/>
      <c r="CX47" s="37"/>
      <c r="CY47" s="37"/>
      <c r="CZ47" s="37"/>
      <c r="DA47" s="37"/>
      <c r="DB47" s="37"/>
      <c r="DC47" s="37"/>
      <c r="DD47" s="37"/>
      <c r="DE47" s="37"/>
      <c r="DF47" s="37"/>
      <c r="DG47" s="37"/>
      <c r="DH47" s="37"/>
      <c r="DI47" s="37"/>
      <c r="DJ47" s="37"/>
      <c r="DK47" s="37"/>
      <c r="DL47" s="37"/>
      <c r="DM47" s="37"/>
      <c r="DN47" s="37"/>
      <c r="DO47" s="37"/>
      <c r="DP47" s="37"/>
      <c r="DQ47" s="37"/>
      <c r="DR47" s="37"/>
      <c r="DS47" s="37"/>
      <c r="DT47" s="37"/>
      <c r="DU47" s="37"/>
      <c r="DV47" s="37"/>
      <c r="DW47" s="37"/>
      <c r="DX47" s="37"/>
      <c r="DY47" s="37"/>
      <c r="DZ47" s="37"/>
      <c r="EA47" s="37"/>
      <c r="EB47" s="37"/>
      <c r="EC47" s="37"/>
      <c r="ED47" s="37"/>
      <c r="EE47" s="37"/>
      <c r="EF47" s="37"/>
      <c r="EG47" s="37"/>
      <c r="EH47" s="37"/>
      <c r="EI47" s="37"/>
      <c r="EJ47" s="37"/>
      <c r="EK47" s="37"/>
      <c r="EL47" s="37"/>
      <c r="EM47" s="37"/>
      <c r="EN47" s="37"/>
      <c r="EO47" s="37"/>
      <c r="EP47" s="37"/>
      <c r="EQ47" s="37"/>
      <c r="ER47" s="37"/>
      <c r="ES47" s="37"/>
      <c r="ET47" s="37"/>
      <c r="EU47" s="37"/>
      <c r="EV47" s="37"/>
      <c r="EW47" s="37"/>
      <c r="EX47" s="37"/>
      <c r="EY47" s="37"/>
      <c r="EZ47" s="37"/>
      <c r="FA47" s="37"/>
      <c r="FB47" s="37"/>
      <c r="FC47" s="37"/>
      <c r="FD47" s="37"/>
      <c r="FE47" s="37"/>
      <c r="FF47" s="37"/>
      <c r="FG47" s="37"/>
      <c r="FH47" s="37"/>
      <c r="FI47" s="37"/>
      <c r="FJ47" s="37"/>
      <c r="FK47" s="37"/>
      <c r="FL47" s="37"/>
      <c r="FM47" s="37"/>
      <c r="FN47" s="37"/>
      <c r="FO47" s="37"/>
      <c r="FP47" s="37"/>
      <c r="FQ47" s="37"/>
      <c r="FR47" s="37"/>
      <c r="FS47" s="37"/>
      <c r="FT47" s="37"/>
      <c r="FU47" s="37"/>
      <c r="FV47" s="37"/>
      <c r="FW47" s="37"/>
      <c r="FX47" s="37"/>
      <c r="FY47" s="37"/>
      <c r="FZ47" s="37"/>
      <c r="GA47" s="37"/>
      <c r="GB47" s="37"/>
      <c r="GC47" s="37"/>
      <c r="GD47" s="37"/>
      <c r="GE47" s="37"/>
      <c r="GF47" s="37"/>
      <c r="GG47" s="37"/>
      <c r="GH47" s="37"/>
      <c r="GI47" s="37"/>
      <c r="GJ47" s="37"/>
      <c r="GK47" s="37"/>
      <c r="GL47" s="37"/>
      <c r="GM47" s="37"/>
      <c r="GN47" s="37"/>
      <c r="GO47" s="37"/>
      <c r="GP47" s="37"/>
      <c r="GQ47" s="37"/>
      <c r="GR47" s="37"/>
      <c r="GS47" s="37"/>
      <c r="GT47" s="37"/>
      <c r="GU47" s="37"/>
      <c r="GV47" s="37"/>
      <c r="GW47" s="37"/>
      <c r="GX47" s="37"/>
      <c r="GY47" s="37"/>
      <c r="GZ47" s="37"/>
      <c r="HA47" s="37"/>
      <c r="HB47" s="37"/>
      <c r="HC47" s="37"/>
      <c r="HD47" s="37"/>
      <c r="HE47" s="37"/>
      <c r="HF47" s="37"/>
      <c r="HG47" s="37"/>
      <c r="HH47" s="37"/>
      <c r="HI47" s="37"/>
      <c r="HJ47" s="37"/>
      <c r="HK47" s="37"/>
      <c r="HL47" s="37"/>
      <c r="HM47" s="37"/>
      <c r="HN47" s="37"/>
      <c r="HO47" s="37"/>
      <c r="HP47" s="37"/>
      <c r="HQ47" s="37"/>
      <c r="HR47" s="37"/>
      <c r="HS47" s="37"/>
      <c r="HT47" s="37"/>
      <c r="HU47" s="37"/>
      <c r="HV47" s="37"/>
      <c r="HW47" s="37"/>
      <c r="HX47" s="37"/>
      <c r="HY47" s="37"/>
      <c r="HZ47" s="37"/>
      <c r="IA47" s="37"/>
      <c r="IB47" s="37"/>
      <c r="IC47" s="37"/>
      <c r="ID47" s="37"/>
      <c r="IE47" s="37"/>
      <c r="IF47" s="37"/>
      <c r="IG47" s="37"/>
      <c r="IH47" s="37"/>
      <c r="II47" s="37"/>
      <c r="IJ47" s="37"/>
      <c r="IK47" s="37"/>
      <c r="IL47" s="37"/>
      <c r="IM47" s="37"/>
      <c r="IN47" s="37"/>
      <c r="IO47" s="37"/>
      <c r="IP47" s="37"/>
      <c r="IQ47" s="37"/>
      <c r="IR47" s="37"/>
      <c r="IS47" s="37"/>
      <c r="IT47" s="37"/>
      <c r="IU47" s="37"/>
      <c r="IV47" s="37"/>
      <c r="IW47" s="37"/>
    </row>
    <row r="48" spans="1:257" ht="12.75" customHeight="1">
      <c r="A48" s="37"/>
      <c r="B48" s="131"/>
      <c r="C48" s="37"/>
      <c r="D48" s="37"/>
      <c r="E48" s="37"/>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7"/>
      <c r="CF48" s="37"/>
      <c r="CG48" s="37"/>
      <c r="CH48" s="37"/>
      <c r="CI48" s="37"/>
      <c r="CJ48" s="37"/>
      <c r="CK48" s="37"/>
      <c r="CL48" s="37"/>
      <c r="CM48" s="37"/>
      <c r="CN48" s="37"/>
      <c r="CO48" s="37"/>
      <c r="CP48" s="37"/>
      <c r="CQ48" s="37"/>
      <c r="CR48" s="37"/>
      <c r="CS48" s="37"/>
      <c r="CT48" s="37"/>
      <c r="CU48" s="37"/>
      <c r="CV48" s="37"/>
      <c r="CW48" s="37"/>
      <c r="CX48" s="37"/>
      <c r="CY48" s="37"/>
      <c r="CZ48" s="37"/>
      <c r="DA48" s="37"/>
      <c r="DB48" s="37"/>
      <c r="DC48" s="37"/>
      <c r="DD48" s="37"/>
      <c r="DE48" s="37"/>
      <c r="DF48" s="37"/>
      <c r="DG48" s="37"/>
      <c r="DH48" s="37"/>
      <c r="DI48" s="37"/>
      <c r="DJ48" s="37"/>
      <c r="DK48" s="37"/>
      <c r="DL48" s="37"/>
      <c r="DM48" s="37"/>
      <c r="DN48" s="37"/>
      <c r="DO48" s="37"/>
      <c r="DP48" s="37"/>
      <c r="DQ48" s="37"/>
      <c r="DR48" s="37"/>
      <c r="DS48" s="37"/>
      <c r="DT48" s="37"/>
      <c r="DU48" s="37"/>
      <c r="DV48" s="37"/>
      <c r="DW48" s="37"/>
      <c r="DX48" s="37"/>
      <c r="DY48" s="37"/>
      <c r="DZ48" s="37"/>
      <c r="EA48" s="37"/>
      <c r="EB48" s="37"/>
      <c r="EC48" s="37"/>
      <c r="ED48" s="37"/>
      <c r="EE48" s="37"/>
      <c r="EF48" s="37"/>
      <c r="EG48" s="37"/>
      <c r="EH48" s="37"/>
      <c r="EI48" s="37"/>
      <c r="EJ48" s="37"/>
      <c r="EK48" s="37"/>
      <c r="EL48" s="37"/>
      <c r="EM48" s="37"/>
      <c r="EN48" s="37"/>
      <c r="EO48" s="37"/>
      <c r="EP48" s="37"/>
      <c r="EQ48" s="37"/>
      <c r="ER48" s="37"/>
      <c r="ES48" s="37"/>
      <c r="ET48" s="37"/>
      <c r="EU48" s="37"/>
      <c r="EV48" s="37"/>
      <c r="EW48" s="37"/>
      <c r="EX48" s="37"/>
      <c r="EY48" s="37"/>
      <c r="EZ48" s="37"/>
      <c r="FA48" s="37"/>
      <c r="FB48" s="37"/>
      <c r="FC48" s="37"/>
      <c r="FD48" s="37"/>
      <c r="FE48" s="37"/>
      <c r="FF48" s="37"/>
      <c r="FG48" s="37"/>
      <c r="FH48" s="37"/>
      <c r="FI48" s="37"/>
      <c r="FJ48" s="37"/>
      <c r="FK48" s="37"/>
      <c r="FL48" s="37"/>
      <c r="FM48" s="37"/>
      <c r="FN48" s="37"/>
      <c r="FO48" s="37"/>
      <c r="FP48" s="37"/>
      <c r="FQ48" s="37"/>
      <c r="FR48" s="37"/>
      <c r="FS48" s="37"/>
      <c r="FT48" s="37"/>
      <c r="FU48" s="37"/>
      <c r="FV48" s="37"/>
      <c r="FW48" s="37"/>
      <c r="FX48" s="37"/>
      <c r="FY48" s="37"/>
      <c r="FZ48" s="37"/>
      <c r="GA48" s="37"/>
      <c r="GB48" s="37"/>
      <c r="GC48" s="37"/>
      <c r="GD48" s="37"/>
      <c r="GE48" s="37"/>
      <c r="GF48" s="37"/>
      <c r="GG48" s="37"/>
      <c r="GH48" s="37"/>
      <c r="GI48" s="37"/>
      <c r="GJ48" s="37"/>
      <c r="GK48" s="37"/>
      <c r="GL48" s="37"/>
      <c r="GM48" s="37"/>
      <c r="GN48" s="37"/>
      <c r="GO48" s="37"/>
      <c r="GP48" s="37"/>
      <c r="GQ48" s="37"/>
      <c r="GR48" s="37"/>
      <c r="GS48" s="37"/>
      <c r="GT48" s="37"/>
      <c r="GU48" s="37"/>
      <c r="GV48" s="37"/>
      <c r="GW48" s="37"/>
      <c r="GX48" s="37"/>
      <c r="GY48" s="37"/>
      <c r="GZ48" s="37"/>
      <c r="HA48" s="37"/>
      <c r="HB48" s="37"/>
      <c r="HC48" s="37"/>
      <c r="HD48" s="37"/>
      <c r="HE48" s="37"/>
      <c r="HF48" s="37"/>
      <c r="HG48" s="37"/>
      <c r="HH48" s="37"/>
      <c r="HI48" s="37"/>
      <c r="HJ48" s="37"/>
      <c r="HK48" s="37"/>
      <c r="HL48" s="37"/>
      <c r="HM48" s="37"/>
      <c r="HN48" s="37"/>
      <c r="HO48" s="37"/>
      <c r="HP48" s="37"/>
      <c r="HQ48" s="37"/>
      <c r="HR48" s="37"/>
      <c r="HS48" s="37"/>
      <c r="HT48" s="37"/>
      <c r="HU48" s="37"/>
      <c r="HV48" s="37"/>
      <c r="HW48" s="37"/>
      <c r="HX48" s="37"/>
      <c r="HY48" s="37"/>
      <c r="HZ48" s="37"/>
      <c r="IA48" s="37"/>
      <c r="IB48" s="37"/>
      <c r="IC48" s="37"/>
      <c r="ID48" s="37"/>
      <c r="IE48" s="37"/>
      <c r="IF48" s="37"/>
      <c r="IG48" s="37"/>
      <c r="IH48" s="37"/>
      <c r="II48" s="37"/>
      <c r="IJ48" s="37"/>
      <c r="IK48" s="37"/>
      <c r="IL48" s="37"/>
      <c r="IM48" s="37"/>
      <c r="IN48" s="37"/>
      <c r="IO48" s="37"/>
      <c r="IP48" s="37"/>
      <c r="IQ48" s="37"/>
      <c r="IR48" s="37"/>
      <c r="IS48" s="37"/>
      <c r="IT48" s="37"/>
      <c r="IU48" s="37"/>
      <c r="IV48" s="37"/>
      <c r="IW48" s="37"/>
    </row>
    <row r="49" spans="1:257" ht="12.75" customHeight="1">
      <c r="A49" s="37"/>
      <c r="B49" s="131"/>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37"/>
      <c r="BR49" s="37"/>
      <c r="BS49" s="37"/>
      <c r="BT49" s="37"/>
      <c r="BU49" s="37"/>
      <c r="BV49" s="37"/>
      <c r="BW49" s="37"/>
      <c r="BX49" s="37"/>
      <c r="BY49" s="37"/>
      <c r="BZ49" s="37"/>
      <c r="CA49" s="37"/>
      <c r="CB49" s="37"/>
      <c r="CC49" s="37"/>
      <c r="CD49" s="37"/>
      <c r="CE49" s="37"/>
      <c r="CF49" s="37"/>
      <c r="CG49" s="37"/>
      <c r="CH49" s="37"/>
      <c r="CI49" s="37"/>
      <c r="CJ49" s="37"/>
      <c r="CK49" s="37"/>
      <c r="CL49" s="37"/>
      <c r="CM49" s="37"/>
      <c r="CN49" s="37"/>
      <c r="CO49" s="37"/>
      <c r="CP49" s="37"/>
      <c r="CQ49" s="37"/>
      <c r="CR49" s="37"/>
      <c r="CS49" s="37"/>
      <c r="CT49" s="37"/>
      <c r="CU49" s="37"/>
      <c r="CV49" s="37"/>
      <c r="CW49" s="37"/>
      <c r="CX49" s="37"/>
      <c r="CY49" s="37"/>
      <c r="CZ49" s="37"/>
      <c r="DA49" s="37"/>
      <c r="DB49" s="37"/>
      <c r="DC49" s="37"/>
      <c r="DD49" s="37"/>
      <c r="DE49" s="37"/>
      <c r="DF49" s="37"/>
      <c r="DG49" s="37"/>
      <c r="DH49" s="37"/>
      <c r="DI49" s="37"/>
      <c r="DJ49" s="37"/>
      <c r="DK49" s="37"/>
      <c r="DL49" s="37"/>
      <c r="DM49" s="37"/>
      <c r="DN49" s="37"/>
      <c r="DO49" s="37"/>
      <c r="DP49" s="37"/>
      <c r="DQ49" s="37"/>
      <c r="DR49" s="37"/>
      <c r="DS49" s="37"/>
      <c r="DT49" s="37"/>
      <c r="DU49" s="37"/>
      <c r="DV49" s="37"/>
      <c r="DW49" s="37"/>
      <c r="DX49" s="37"/>
      <c r="DY49" s="37"/>
      <c r="DZ49" s="37"/>
      <c r="EA49" s="37"/>
      <c r="EB49" s="37"/>
      <c r="EC49" s="37"/>
      <c r="ED49" s="37"/>
      <c r="EE49" s="37"/>
      <c r="EF49" s="37"/>
      <c r="EG49" s="37"/>
      <c r="EH49" s="37"/>
      <c r="EI49" s="37"/>
      <c r="EJ49" s="37"/>
      <c r="EK49" s="37"/>
      <c r="EL49" s="37"/>
      <c r="EM49" s="37"/>
      <c r="EN49" s="37"/>
      <c r="EO49" s="37"/>
      <c r="EP49" s="37"/>
      <c r="EQ49" s="37"/>
      <c r="ER49" s="37"/>
      <c r="ES49" s="37"/>
      <c r="ET49" s="37"/>
      <c r="EU49" s="37"/>
      <c r="EV49" s="37"/>
      <c r="EW49" s="37"/>
      <c r="EX49" s="37"/>
      <c r="EY49" s="37"/>
      <c r="EZ49" s="37"/>
      <c r="FA49" s="37"/>
      <c r="FB49" s="37"/>
      <c r="FC49" s="37"/>
      <c r="FD49" s="37"/>
      <c r="FE49" s="37"/>
      <c r="FF49" s="37"/>
      <c r="FG49" s="37"/>
      <c r="FH49" s="37"/>
      <c r="FI49" s="37"/>
      <c r="FJ49" s="37"/>
      <c r="FK49" s="37"/>
      <c r="FL49" s="37"/>
      <c r="FM49" s="37"/>
      <c r="FN49" s="37"/>
      <c r="FO49" s="37"/>
      <c r="FP49" s="37"/>
      <c r="FQ49" s="37"/>
      <c r="FR49" s="37"/>
      <c r="FS49" s="37"/>
      <c r="FT49" s="37"/>
      <c r="FU49" s="37"/>
      <c r="FV49" s="37"/>
      <c r="FW49" s="37"/>
      <c r="FX49" s="37"/>
      <c r="FY49" s="37"/>
      <c r="FZ49" s="37"/>
      <c r="GA49" s="37"/>
      <c r="GB49" s="37"/>
      <c r="GC49" s="37"/>
      <c r="GD49" s="37"/>
      <c r="GE49" s="37"/>
      <c r="GF49" s="37"/>
      <c r="GG49" s="37"/>
      <c r="GH49" s="37"/>
      <c r="GI49" s="37"/>
      <c r="GJ49" s="37"/>
      <c r="GK49" s="37"/>
      <c r="GL49" s="37"/>
      <c r="GM49" s="37"/>
      <c r="GN49" s="37"/>
      <c r="GO49" s="37"/>
      <c r="GP49" s="37"/>
      <c r="GQ49" s="37"/>
      <c r="GR49" s="37"/>
      <c r="GS49" s="37"/>
      <c r="GT49" s="37"/>
      <c r="GU49" s="37"/>
      <c r="GV49" s="37"/>
      <c r="GW49" s="37"/>
      <c r="GX49" s="37"/>
      <c r="GY49" s="37"/>
      <c r="GZ49" s="37"/>
      <c r="HA49" s="37"/>
      <c r="HB49" s="37"/>
      <c r="HC49" s="37"/>
      <c r="HD49" s="37"/>
      <c r="HE49" s="37"/>
      <c r="HF49" s="37"/>
      <c r="HG49" s="37"/>
      <c r="HH49" s="37"/>
      <c r="HI49" s="37"/>
      <c r="HJ49" s="37"/>
      <c r="HK49" s="37"/>
      <c r="HL49" s="37"/>
      <c r="HM49" s="37"/>
      <c r="HN49" s="37"/>
      <c r="HO49" s="37"/>
      <c r="HP49" s="37"/>
      <c r="HQ49" s="37"/>
      <c r="HR49" s="37"/>
      <c r="HS49" s="37"/>
      <c r="HT49" s="37"/>
      <c r="HU49" s="37"/>
      <c r="HV49" s="37"/>
      <c r="HW49" s="37"/>
      <c r="HX49" s="37"/>
      <c r="HY49" s="37"/>
      <c r="HZ49" s="37"/>
      <c r="IA49" s="37"/>
      <c r="IB49" s="37"/>
      <c r="IC49" s="37"/>
      <c r="ID49" s="37"/>
      <c r="IE49" s="37"/>
      <c r="IF49" s="37"/>
      <c r="IG49" s="37"/>
      <c r="IH49" s="37"/>
      <c r="II49" s="37"/>
      <c r="IJ49" s="37"/>
      <c r="IK49" s="37"/>
      <c r="IL49" s="37"/>
      <c r="IM49" s="37"/>
      <c r="IN49" s="37"/>
      <c r="IO49" s="37"/>
      <c r="IP49" s="37"/>
      <c r="IQ49" s="37"/>
      <c r="IR49" s="37"/>
      <c r="IS49" s="37"/>
      <c r="IT49" s="37"/>
      <c r="IU49" s="37"/>
      <c r="IV49" s="37"/>
      <c r="IW49" s="37"/>
    </row>
    <row r="51" spans="1:257" ht="18.75" customHeight="1">
      <c r="A51" s="132"/>
      <c r="B51" s="133"/>
      <c r="C51" s="134"/>
    </row>
  </sheetData>
  <mergeCells count="4">
    <mergeCell ref="A2:I2"/>
    <mergeCell ref="G1:I1"/>
    <mergeCell ref="A3:I3"/>
    <mergeCell ref="B30:D30"/>
  </mergeCells>
  <printOptions horizontalCentered="1"/>
  <pageMargins left="0.7" right="0.30972222222222201" top="0.8" bottom="0.75" header="0.511811023622047" footer="0.3"/>
  <pageSetup paperSize="9" scale="97" fitToHeight="0" orientation="landscape" horizontalDpi="300" verticalDpi="300" r:id="rId1"/>
  <headerFooter>
    <oddFooter>&amp;C&amp;A&amp;RPage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W41"/>
  <sheetViews>
    <sheetView view="pageBreakPreview" zoomScale="120" zoomScaleNormal="100" zoomScalePageLayoutView="120" workbookViewId="0">
      <selection activeCell="F8" sqref="F8"/>
    </sheetView>
  </sheetViews>
  <sheetFormatPr defaultColWidth="9.140625" defaultRowHeight="12.75"/>
  <cols>
    <col min="1" max="1" width="5.85546875" style="49" customWidth="1"/>
    <col min="2" max="2" width="40.140625" style="126" customWidth="1"/>
    <col min="3" max="3" width="9.140625" style="2" customWidth="1"/>
    <col min="4" max="4" width="11.7109375" style="49" customWidth="1"/>
    <col min="5" max="5" width="9.5703125" style="49" customWidth="1"/>
    <col min="6" max="6" width="15.5703125" style="49" customWidth="1"/>
    <col min="7" max="7" width="18" style="49" customWidth="1"/>
    <col min="8" max="8" width="15.5703125" style="49" customWidth="1"/>
    <col min="9" max="9" width="24.42578125" style="89" customWidth="1"/>
    <col min="10" max="10" width="10.85546875" style="2" customWidth="1"/>
    <col min="11" max="11" width="11.42578125" style="2" customWidth="1"/>
    <col min="12" max="12" width="12.5703125" style="2" customWidth="1"/>
    <col min="13" max="13" width="17.5703125" style="90" customWidth="1"/>
    <col min="14" max="14" width="9.140625" style="90" customWidth="1"/>
    <col min="15" max="15" width="20.140625" style="90" customWidth="1"/>
    <col min="16" max="16" width="15.85546875" style="90" customWidth="1"/>
    <col min="17" max="17" width="14.42578125" style="90" customWidth="1"/>
    <col min="18" max="18" width="11" style="90" customWidth="1"/>
    <col min="19" max="27" width="9.140625" style="90" customWidth="1"/>
    <col min="28" max="257" width="9.140625" style="2" customWidth="1"/>
  </cols>
  <sheetData>
    <row r="1" spans="1:29" s="54" customFormat="1" ht="16.5" customHeight="1">
      <c r="A1" s="51"/>
      <c r="F1" s="51"/>
      <c r="G1" s="191"/>
      <c r="H1" s="197"/>
      <c r="I1" s="197"/>
      <c r="J1" s="2"/>
      <c r="O1" s="120"/>
      <c r="P1" s="120"/>
      <c r="Q1" s="120"/>
      <c r="R1" s="120"/>
      <c r="S1" s="120"/>
      <c r="T1" s="120"/>
      <c r="U1" s="120"/>
      <c r="V1" s="120"/>
      <c r="W1" s="120"/>
      <c r="X1" s="120"/>
      <c r="Y1" s="120"/>
      <c r="Z1" s="120"/>
      <c r="AA1" s="120"/>
      <c r="AB1" s="120"/>
      <c r="AC1" s="120"/>
    </row>
    <row r="2" spans="1:29" s="52" customFormat="1" ht="20.25" customHeight="1">
      <c r="A2" s="167" t="s">
        <v>196</v>
      </c>
      <c r="B2" s="186"/>
      <c r="C2" s="186"/>
      <c r="D2" s="186"/>
      <c r="E2" s="186"/>
      <c r="F2" s="186"/>
      <c r="G2" s="186"/>
      <c r="H2" s="186"/>
      <c r="I2" s="186"/>
      <c r="J2" s="117"/>
      <c r="M2" s="91"/>
      <c r="N2" s="91"/>
      <c r="O2" s="91"/>
      <c r="P2" s="91"/>
      <c r="Q2" s="91"/>
      <c r="R2" s="91"/>
      <c r="S2" s="91"/>
      <c r="T2" s="91"/>
      <c r="U2" s="91"/>
      <c r="V2" s="91"/>
      <c r="W2" s="91"/>
      <c r="X2" s="91"/>
      <c r="Y2" s="91"/>
      <c r="Z2" s="91"/>
      <c r="AA2" s="91"/>
    </row>
    <row r="3" spans="1:29" s="52" customFormat="1" ht="18" customHeight="1">
      <c r="A3" s="200" t="s">
        <v>197</v>
      </c>
      <c r="B3" s="186"/>
      <c r="C3" s="186"/>
      <c r="D3" s="186"/>
      <c r="E3" s="186"/>
      <c r="F3" s="186"/>
      <c r="G3" s="186"/>
      <c r="H3" s="186"/>
      <c r="I3" s="186"/>
      <c r="J3" s="118"/>
      <c r="M3" s="91"/>
      <c r="N3" s="91"/>
      <c r="O3" s="91"/>
      <c r="P3" s="91"/>
      <c r="Q3" s="91"/>
      <c r="R3" s="91"/>
      <c r="S3" s="91"/>
      <c r="T3" s="91"/>
      <c r="U3" s="91"/>
      <c r="V3" s="91"/>
      <c r="W3" s="91"/>
      <c r="X3" s="91"/>
      <c r="Y3" s="91"/>
      <c r="Z3" s="91"/>
      <c r="AA3" s="91"/>
    </row>
    <row r="4" spans="1:29" s="52" customFormat="1" ht="17.25" customHeight="1">
      <c r="A4" s="127"/>
      <c r="B4" s="119"/>
      <c r="C4" s="51"/>
      <c r="D4" s="101"/>
      <c r="E4" s="101"/>
      <c r="F4" s="101"/>
      <c r="G4" s="101"/>
      <c r="H4" s="101"/>
      <c r="I4" s="54"/>
      <c r="M4" s="91"/>
      <c r="N4" s="91"/>
      <c r="O4" s="91"/>
      <c r="P4" s="91"/>
      <c r="Q4" s="91"/>
      <c r="R4" s="91"/>
      <c r="S4" s="91"/>
      <c r="T4" s="91"/>
      <c r="U4" s="91"/>
      <c r="V4" s="91"/>
      <c r="W4" s="91"/>
      <c r="X4" s="91"/>
      <c r="Y4" s="91"/>
      <c r="Z4" s="91"/>
      <c r="AA4" s="91"/>
    </row>
    <row r="5" spans="1:29" ht="13.5" customHeight="1">
      <c r="A5" s="30"/>
      <c r="B5" s="119"/>
      <c r="C5" s="54"/>
      <c r="D5" s="51"/>
      <c r="E5" s="51"/>
      <c r="F5" s="51"/>
      <c r="G5" s="51"/>
      <c r="I5" s="92" t="s">
        <v>40</v>
      </c>
      <c r="J5" s="52"/>
    </row>
    <row r="6" spans="1:29" s="54" customFormat="1" ht="69.75" customHeight="1">
      <c r="A6" s="61" t="s">
        <v>97</v>
      </c>
      <c r="B6" s="62" t="s">
        <v>98</v>
      </c>
      <c r="C6" s="61" t="s">
        <v>126</v>
      </c>
      <c r="D6" s="61" t="s">
        <v>100</v>
      </c>
      <c r="E6" s="61" t="s">
        <v>130</v>
      </c>
      <c r="F6" s="62" t="s">
        <v>131</v>
      </c>
      <c r="G6" s="62" t="s">
        <v>45</v>
      </c>
      <c r="H6" s="62" t="s">
        <v>46</v>
      </c>
      <c r="I6" s="62" t="s">
        <v>132</v>
      </c>
      <c r="J6" s="30"/>
      <c r="M6" s="120"/>
      <c r="N6" s="120"/>
      <c r="O6" s="120"/>
      <c r="P6" s="120"/>
      <c r="Q6" s="120"/>
      <c r="R6" s="120"/>
      <c r="S6" s="120"/>
      <c r="T6" s="120"/>
      <c r="U6" s="120"/>
      <c r="V6" s="120"/>
      <c r="W6" s="120"/>
      <c r="X6" s="120"/>
      <c r="Y6" s="120"/>
      <c r="Z6" s="120"/>
      <c r="AA6" s="120"/>
    </row>
    <row r="7" spans="1:29" s="103" customFormat="1" ht="18" customHeight="1">
      <c r="A7" s="104" t="s">
        <v>48</v>
      </c>
      <c r="B7" s="105" t="s">
        <v>49</v>
      </c>
      <c r="C7" s="104" t="s">
        <v>50</v>
      </c>
      <c r="D7" s="106" t="s">
        <v>51</v>
      </c>
      <c r="E7" s="106" t="s">
        <v>52</v>
      </c>
      <c r="F7" s="106" t="s">
        <v>153</v>
      </c>
      <c r="G7" s="106" t="s">
        <v>54</v>
      </c>
      <c r="H7" s="106" t="s">
        <v>154</v>
      </c>
      <c r="I7" s="106" t="s">
        <v>135</v>
      </c>
    </row>
    <row r="8" spans="1:29" s="135" customFormat="1" ht="17.25" customHeight="1">
      <c r="A8" s="67">
        <v>1</v>
      </c>
      <c r="B8" s="98" t="s">
        <v>198</v>
      </c>
      <c r="C8" s="65" t="s">
        <v>178</v>
      </c>
      <c r="D8" s="67">
        <v>18</v>
      </c>
      <c r="E8" s="68">
        <v>15000</v>
      </c>
      <c r="F8" s="68">
        <f t="shared" ref="F8:F13" si="0">D8*E8</f>
        <v>270000</v>
      </c>
      <c r="G8" s="68">
        <v>0</v>
      </c>
      <c r="H8" s="66">
        <f t="shared" ref="H8:H13" si="1">F8+G8</f>
        <v>270000</v>
      </c>
      <c r="I8" s="145"/>
      <c r="J8" s="136"/>
    </row>
    <row r="9" spans="1:29" s="135" customFormat="1" ht="17.25" customHeight="1">
      <c r="A9" s="67">
        <v>2</v>
      </c>
      <c r="B9" s="98" t="s">
        <v>199</v>
      </c>
      <c r="C9" s="65" t="s">
        <v>187</v>
      </c>
      <c r="D9" s="67">
        <v>4</v>
      </c>
      <c r="E9" s="68">
        <v>20000</v>
      </c>
      <c r="F9" s="68">
        <f t="shared" si="0"/>
        <v>80000</v>
      </c>
      <c r="G9" s="68">
        <v>0</v>
      </c>
      <c r="H9" s="66">
        <f t="shared" si="1"/>
        <v>80000</v>
      </c>
      <c r="I9" s="145"/>
      <c r="J9" s="136"/>
    </row>
    <row r="10" spans="1:29" s="109" customFormat="1" ht="20.25" customHeight="1">
      <c r="A10" s="67">
        <v>3</v>
      </c>
      <c r="B10" s="98" t="s">
        <v>200</v>
      </c>
      <c r="C10" s="65" t="s">
        <v>187</v>
      </c>
      <c r="D10" s="67">
        <v>2</v>
      </c>
      <c r="E10" s="68">
        <v>100000</v>
      </c>
      <c r="F10" s="68">
        <f t="shared" si="0"/>
        <v>200000</v>
      </c>
      <c r="G10" s="68">
        <v>0</v>
      </c>
      <c r="H10" s="66">
        <f t="shared" si="1"/>
        <v>200000</v>
      </c>
      <c r="I10" s="145"/>
      <c r="J10" s="107"/>
    </row>
    <row r="11" spans="1:29" s="54" customFormat="1" ht="19.5" customHeight="1">
      <c r="A11" s="67">
        <v>4</v>
      </c>
      <c r="B11" s="98" t="s">
        <v>201</v>
      </c>
      <c r="C11" s="65" t="s">
        <v>202</v>
      </c>
      <c r="D11" s="67">
        <v>6</v>
      </c>
      <c r="E11" s="68">
        <v>15000</v>
      </c>
      <c r="F11" s="68">
        <f t="shared" si="0"/>
        <v>90000</v>
      </c>
      <c r="G11" s="68">
        <v>0</v>
      </c>
      <c r="H11" s="68">
        <f t="shared" si="1"/>
        <v>90000</v>
      </c>
      <c r="I11" s="145"/>
      <c r="M11" s="120"/>
      <c r="N11" s="120"/>
      <c r="O11" s="120"/>
      <c r="P11" s="120"/>
      <c r="Q11" s="120"/>
      <c r="R11" s="120"/>
      <c r="S11" s="120"/>
      <c r="T11" s="120"/>
      <c r="U11" s="120"/>
      <c r="V11" s="120"/>
      <c r="W11" s="120"/>
      <c r="X11" s="120"/>
      <c r="Y11" s="120"/>
      <c r="Z11" s="120"/>
      <c r="AA11" s="120"/>
    </row>
    <row r="12" spans="1:29" s="109" customFormat="1" ht="36" customHeight="1">
      <c r="A12" s="67">
        <v>5</v>
      </c>
      <c r="B12" s="98" t="s">
        <v>203</v>
      </c>
      <c r="C12" s="65" t="s">
        <v>174</v>
      </c>
      <c r="D12" s="67">
        <v>2</v>
      </c>
      <c r="E12" s="68">
        <v>30000</v>
      </c>
      <c r="F12" s="68">
        <f t="shared" si="0"/>
        <v>60000</v>
      </c>
      <c r="G12" s="68">
        <v>0</v>
      </c>
      <c r="H12" s="66">
        <f t="shared" si="1"/>
        <v>60000</v>
      </c>
      <c r="I12" s="145"/>
      <c r="J12" s="107"/>
    </row>
    <row r="13" spans="1:29" s="54" customFormat="1" ht="19.5" customHeight="1">
      <c r="A13" s="67">
        <v>6</v>
      </c>
      <c r="B13" s="98" t="s">
        <v>204</v>
      </c>
      <c r="C13" s="65" t="s">
        <v>174</v>
      </c>
      <c r="D13" s="67">
        <v>1</v>
      </c>
      <c r="E13" s="68">
        <v>50000</v>
      </c>
      <c r="F13" s="68">
        <f t="shared" si="0"/>
        <v>50000</v>
      </c>
      <c r="G13" s="68">
        <v>0</v>
      </c>
      <c r="H13" s="68">
        <f t="shared" si="1"/>
        <v>50000</v>
      </c>
      <c r="I13" s="145"/>
      <c r="M13" s="120"/>
      <c r="N13" s="120"/>
      <c r="O13" s="120"/>
      <c r="P13" s="120"/>
      <c r="Q13" s="120"/>
      <c r="R13" s="120"/>
      <c r="S13" s="120"/>
      <c r="T13" s="120"/>
      <c r="U13" s="120"/>
      <c r="V13" s="120"/>
      <c r="W13" s="120"/>
      <c r="X13" s="120"/>
      <c r="Y13" s="120"/>
      <c r="Z13" s="120"/>
      <c r="AA13" s="120"/>
    </row>
    <row r="14" spans="1:29" s="109" customFormat="1" ht="30.75" customHeight="1">
      <c r="A14" s="100"/>
      <c r="B14" s="100" t="s">
        <v>88</v>
      </c>
      <c r="C14" s="100"/>
      <c r="D14" s="100"/>
      <c r="E14" s="150"/>
      <c r="F14" s="77">
        <f>SUM(F8:F13)</f>
        <v>750000</v>
      </c>
      <c r="G14" s="150"/>
      <c r="H14" s="85">
        <f>SUM(H8:H13)</f>
        <v>750000</v>
      </c>
      <c r="I14" s="145"/>
      <c r="J14" s="107"/>
    </row>
    <row r="15" spans="1:29" s="54" customFormat="1" ht="17.25" customHeight="1">
      <c r="A15" s="145"/>
      <c r="B15" s="145"/>
      <c r="C15" s="145"/>
      <c r="D15" s="66"/>
      <c r="E15" s="146"/>
      <c r="F15" s="146"/>
      <c r="G15" s="146"/>
      <c r="H15" s="146"/>
      <c r="I15" s="145"/>
      <c r="M15" s="120"/>
      <c r="N15" s="120"/>
      <c r="O15" s="120"/>
      <c r="P15" s="120"/>
      <c r="Q15" s="120"/>
      <c r="R15" s="120"/>
      <c r="S15" s="120"/>
      <c r="T15" s="120"/>
      <c r="U15" s="120"/>
      <c r="V15" s="120"/>
      <c r="W15" s="120"/>
      <c r="X15" s="120"/>
      <c r="Y15" s="120"/>
      <c r="Z15" s="120"/>
      <c r="AA15" s="120"/>
    </row>
    <row r="16" spans="1:29" s="109" customFormat="1" ht="36" customHeight="1">
      <c r="A16" s="145"/>
      <c r="B16" s="145"/>
      <c r="C16" s="145"/>
      <c r="D16" s="145"/>
      <c r="E16" s="146"/>
      <c r="F16" s="146"/>
      <c r="G16" s="146"/>
      <c r="H16" s="66"/>
      <c r="I16" s="145"/>
      <c r="J16" s="107"/>
    </row>
    <row r="17" spans="1:257" s="54" customFormat="1" ht="18" customHeight="1">
      <c r="A17" s="145"/>
      <c r="B17" s="145"/>
      <c r="C17" s="145"/>
      <c r="D17" s="66"/>
      <c r="E17" s="146"/>
      <c r="F17" s="146"/>
      <c r="G17" s="146"/>
      <c r="H17" s="146"/>
      <c r="I17" s="145"/>
      <c r="M17" s="120"/>
      <c r="N17" s="120"/>
      <c r="O17" s="120"/>
      <c r="P17" s="120"/>
      <c r="Q17" s="120"/>
      <c r="R17" s="120"/>
      <c r="S17" s="120"/>
      <c r="T17" s="120"/>
      <c r="U17" s="120"/>
      <c r="V17" s="120"/>
      <c r="W17" s="120"/>
      <c r="X17" s="120"/>
      <c r="Y17" s="120"/>
      <c r="Z17" s="120"/>
      <c r="AA17" s="120"/>
    </row>
    <row r="18" spans="1:257" s="109" customFormat="1" ht="36" customHeight="1">
      <c r="A18" s="145"/>
      <c r="B18" s="145"/>
      <c r="C18" s="145"/>
      <c r="D18" s="145"/>
      <c r="E18" s="146"/>
      <c r="F18" s="146"/>
      <c r="G18" s="146"/>
      <c r="H18" s="66"/>
      <c r="I18" s="145"/>
      <c r="J18" s="107"/>
    </row>
    <row r="19" spans="1:257" s="54" customFormat="1" ht="18" customHeight="1">
      <c r="A19" s="145"/>
      <c r="B19" s="145"/>
      <c r="C19" s="145"/>
      <c r="D19" s="66"/>
      <c r="E19" s="146"/>
      <c r="F19" s="146"/>
      <c r="G19" s="146"/>
      <c r="H19" s="146"/>
      <c r="I19" s="145"/>
      <c r="M19" s="120"/>
      <c r="N19" s="120"/>
      <c r="O19" s="120"/>
      <c r="P19" s="120"/>
      <c r="Q19" s="120"/>
      <c r="R19" s="120"/>
      <c r="S19" s="120"/>
      <c r="T19" s="120"/>
      <c r="U19" s="120"/>
      <c r="V19" s="120"/>
      <c r="W19" s="120"/>
      <c r="X19" s="120"/>
      <c r="Y19" s="120"/>
      <c r="Z19" s="120"/>
      <c r="AA19" s="120"/>
    </row>
    <row r="20" spans="1:257" s="54" customFormat="1" ht="31.5" customHeight="1">
      <c r="A20" s="98"/>
      <c r="B20" s="98"/>
      <c r="C20" s="98"/>
      <c r="D20" s="98"/>
      <c r="E20" s="139"/>
      <c r="F20" s="139"/>
      <c r="G20" s="139"/>
      <c r="H20" s="139"/>
      <c r="I20" s="98"/>
      <c r="M20" s="120"/>
      <c r="N20" s="120"/>
      <c r="O20" s="120"/>
      <c r="P20" s="120"/>
      <c r="Q20" s="120"/>
      <c r="R20" s="120"/>
      <c r="S20" s="120"/>
      <c r="T20" s="120"/>
      <c r="U20" s="120"/>
      <c r="V20" s="120"/>
      <c r="W20" s="120"/>
      <c r="X20" s="120"/>
      <c r="Y20" s="120"/>
      <c r="Z20" s="120"/>
      <c r="AA20" s="120"/>
    </row>
    <row r="21" spans="1:257" s="54" customFormat="1" ht="19.5" customHeight="1">
      <c r="A21" s="98"/>
      <c r="B21" s="98"/>
      <c r="C21" s="98"/>
      <c r="D21" s="138"/>
      <c r="E21" s="139"/>
      <c r="F21" s="139"/>
      <c r="G21" s="139"/>
      <c r="H21" s="139"/>
      <c r="I21" s="98"/>
      <c r="M21" s="120"/>
      <c r="N21" s="120"/>
      <c r="O21" s="120"/>
      <c r="P21" s="120"/>
      <c r="Q21" s="120"/>
      <c r="R21" s="120"/>
      <c r="S21" s="120"/>
      <c r="T21" s="120"/>
      <c r="U21" s="120"/>
      <c r="V21" s="120"/>
      <c r="W21" s="120"/>
      <c r="X21" s="120"/>
      <c r="Y21" s="120"/>
      <c r="Z21" s="120"/>
      <c r="AA21" s="120"/>
    </row>
    <row r="22" spans="1:257" s="54" customFormat="1" ht="27.75" customHeight="1">
      <c r="A22" s="98"/>
      <c r="B22" s="144"/>
      <c r="C22" s="98"/>
      <c r="D22" s="98"/>
      <c r="E22" s="141"/>
      <c r="F22" s="141"/>
      <c r="G22" s="141"/>
      <c r="H22" s="139"/>
      <c r="I22" s="142"/>
      <c r="M22" s="120"/>
      <c r="N22" s="120"/>
      <c r="O22" s="120"/>
      <c r="P22" s="120"/>
      <c r="Q22" s="120"/>
      <c r="R22" s="120"/>
      <c r="S22" s="120"/>
      <c r="T22" s="120"/>
      <c r="U22" s="120"/>
      <c r="V22" s="120"/>
      <c r="W22" s="120"/>
      <c r="X22" s="120"/>
      <c r="Y22" s="120"/>
      <c r="Z22" s="120"/>
      <c r="AA22" s="120"/>
    </row>
    <row r="23" spans="1:257" ht="12.75" customHeight="1">
      <c r="A23" s="98"/>
      <c r="B23" s="98"/>
      <c r="C23" s="98"/>
      <c r="D23" s="98"/>
      <c r="E23" s="98"/>
      <c r="F23" s="98"/>
      <c r="G23" s="98"/>
      <c r="H23" s="98"/>
      <c r="I23" s="98"/>
      <c r="J23" s="37"/>
      <c r="K23" s="37"/>
      <c r="L23" s="37"/>
      <c r="M23" s="3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c r="DI23" s="37"/>
      <c r="DJ23" s="37"/>
      <c r="DK23" s="37"/>
      <c r="DL23" s="37"/>
      <c r="DM23" s="37"/>
      <c r="DN23" s="37"/>
      <c r="DO23" s="37"/>
      <c r="DP23" s="37"/>
      <c r="DQ23" s="37"/>
      <c r="DR23" s="37"/>
      <c r="DS23" s="37"/>
      <c r="DT23" s="37"/>
      <c r="DU23" s="37"/>
      <c r="DV23" s="37"/>
      <c r="DW23" s="37"/>
      <c r="DX23" s="37"/>
      <c r="DY23" s="37"/>
      <c r="DZ23" s="37"/>
      <c r="EA23" s="37"/>
      <c r="EB23" s="37"/>
      <c r="EC23" s="37"/>
      <c r="ED23" s="37"/>
      <c r="EE23" s="37"/>
      <c r="EF23" s="37"/>
      <c r="EG23" s="37"/>
      <c r="EH23" s="37"/>
      <c r="EI23" s="37"/>
      <c r="EJ23" s="37"/>
      <c r="EK23" s="37"/>
      <c r="EL23" s="37"/>
      <c r="EM23" s="37"/>
      <c r="EN23" s="37"/>
      <c r="EO23" s="37"/>
      <c r="EP23" s="37"/>
      <c r="EQ23" s="37"/>
      <c r="ER23" s="37"/>
      <c r="ES23" s="37"/>
      <c r="ET23" s="37"/>
      <c r="EU23" s="37"/>
      <c r="EV23" s="37"/>
      <c r="EW23" s="37"/>
      <c r="EX23" s="37"/>
      <c r="EY23" s="37"/>
      <c r="EZ23" s="37"/>
      <c r="FA23" s="37"/>
      <c r="FB23" s="37"/>
      <c r="FC23" s="37"/>
      <c r="FD23" s="37"/>
      <c r="FE23" s="37"/>
      <c r="FF23" s="37"/>
      <c r="FG23" s="37"/>
      <c r="FH23" s="37"/>
      <c r="FI23" s="37"/>
      <c r="FJ23" s="37"/>
      <c r="FK23" s="37"/>
      <c r="FL23" s="37"/>
      <c r="FM23" s="37"/>
      <c r="FN23" s="37"/>
      <c r="FO23" s="37"/>
      <c r="FP23" s="37"/>
      <c r="FQ23" s="37"/>
      <c r="FR23" s="37"/>
      <c r="FS23" s="37"/>
      <c r="FT23" s="37"/>
      <c r="FU23" s="37"/>
      <c r="FV23" s="37"/>
      <c r="FW23" s="37"/>
      <c r="FX23" s="37"/>
      <c r="FY23" s="37"/>
      <c r="FZ23" s="37"/>
      <c r="GA23" s="37"/>
      <c r="GB23" s="37"/>
      <c r="GC23" s="37"/>
      <c r="GD23" s="37"/>
      <c r="GE23" s="37"/>
      <c r="GF23" s="37"/>
      <c r="GG23" s="37"/>
      <c r="GH23" s="37"/>
      <c r="GI23" s="37"/>
      <c r="GJ23" s="37"/>
      <c r="GK23" s="37"/>
      <c r="GL23" s="37"/>
      <c r="GM23" s="37"/>
      <c r="GN23" s="37"/>
      <c r="GO23" s="37"/>
      <c r="GP23" s="37"/>
      <c r="GQ23" s="37"/>
      <c r="GR23" s="37"/>
      <c r="GS23" s="37"/>
      <c r="GT23" s="37"/>
      <c r="GU23" s="37"/>
      <c r="GV23" s="37"/>
      <c r="GW23" s="37"/>
      <c r="GX23" s="37"/>
      <c r="GY23" s="37"/>
      <c r="GZ23" s="37"/>
      <c r="HA23" s="37"/>
      <c r="HB23" s="37"/>
      <c r="HC23" s="37"/>
      <c r="HD23" s="37"/>
      <c r="HE23" s="37"/>
      <c r="HF23" s="37"/>
      <c r="HG23" s="37"/>
      <c r="HH23" s="37"/>
      <c r="HI23" s="37"/>
      <c r="HJ23" s="37"/>
      <c r="HK23" s="37"/>
      <c r="HL23" s="37"/>
      <c r="HM23" s="37"/>
      <c r="HN23" s="37"/>
      <c r="HO23" s="37"/>
      <c r="HP23" s="37"/>
      <c r="HQ23" s="37"/>
      <c r="HR23" s="37"/>
      <c r="HS23" s="37"/>
      <c r="HT23" s="37"/>
      <c r="HU23" s="37"/>
      <c r="HV23" s="37"/>
      <c r="HW23" s="37"/>
      <c r="HX23" s="37"/>
      <c r="HY23" s="37"/>
      <c r="HZ23" s="37"/>
      <c r="IA23" s="37"/>
      <c r="IB23" s="37"/>
      <c r="IC23" s="37"/>
      <c r="ID23" s="37"/>
      <c r="IE23" s="37"/>
      <c r="IF23" s="37"/>
      <c r="IG23" s="37"/>
      <c r="IH23" s="37"/>
      <c r="II23" s="37"/>
      <c r="IJ23" s="37"/>
      <c r="IK23" s="37"/>
      <c r="IL23" s="37"/>
      <c r="IM23" s="37"/>
      <c r="IN23" s="37"/>
      <c r="IO23" s="37"/>
      <c r="IP23" s="37"/>
      <c r="IQ23" s="37"/>
      <c r="IR23" s="37"/>
      <c r="IS23" s="37"/>
      <c r="IT23" s="37"/>
      <c r="IU23" s="37"/>
      <c r="IV23" s="37"/>
      <c r="IW23" s="37"/>
    </row>
    <row r="24" spans="1:257" ht="12.75" customHeight="1">
      <c r="A24" s="98"/>
      <c r="B24" s="98"/>
      <c r="C24" s="98"/>
      <c r="D24" s="98"/>
      <c r="E24" s="98"/>
      <c r="F24" s="98"/>
      <c r="G24" s="98"/>
      <c r="H24" s="98"/>
      <c r="I24" s="98"/>
      <c r="J24" s="37"/>
      <c r="K24" s="37"/>
      <c r="L24" s="37"/>
      <c r="M24" s="37"/>
      <c r="N24" s="37"/>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K24" s="37"/>
      <c r="DL24" s="37"/>
      <c r="DM24" s="37"/>
      <c r="DN24" s="37"/>
      <c r="DO24" s="37"/>
      <c r="DP24" s="37"/>
      <c r="DQ24" s="37"/>
      <c r="DR24" s="37"/>
      <c r="DS24" s="37"/>
      <c r="DT24" s="37"/>
      <c r="DU24" s="37"/>
      <c r="DV24" s="37"/>
      <c r="DW24" s="37"/>
      <c r="DX24" s="37"/>
      <c r="DY24" s="37"/>
      <c r="DZ24" s="37"/>
      <c r="EA24" s="37"/>
      <c r="EB24" s="37"/>
      <c r="EC24" s="37"/>
      <c r="ED24" s="37"/>
      <c r="EE24" s="37"/>
      <c r="EF24" s="37"/>
      <c r="EG24" s="37"/>
      <c r="EH24" s="37"/>
      <c r="EI24" s="37"/>
      <c r="EJ24" s="37"/>
      <c r="EK24" s="37"/>
      <c r="EL24" s="37"/>
      <c r="EM24" s="37"/>
      <c r="EN24" s="37"/>
      <c r="EO24" s="37"/>
      <c r="EP24" s="37"/>
      <c r="EQ24" s="37"/>
      <c r="ER24" s="37"/>
      <c r="ES24" s="37"/>
      <c r="ET24" s="37"/>
      <c r="EU24" s="37"/>
      <c r="EV24" s="37"/>
      <c r="EW24" s="37"/>
      <c r="EX24" s="37"/>
      <c r="EY24" s="37"/>
      <c r="EZ24" s="37"/>
      <c r="FA24" s="37"/>
      <c r="FB24" s="37"/>
      <c r="FC24" s="37"/>
      <c r="FD24" s="37"/>
      <c r="FE24" s="37"/>
      <c r="FF24" s="37"/>
      <c r="FG24" s="37"/>
      <c r="FH24" s="37"/>
      <c r="FI24" s="37"/>
      <c r="FJ24" s="37"/>
      <c r="FK24" s="37"/>
      <c r="FL24" s="37"/>
      <c r="FM24" s="37"/>
      <c r="FN24" s="37"/>
      <c r="FO24" s="37"/>
      <c r="FP24" s="37"/>
      <c r="FQ24" s="37"/>
      <c r="FR24" s="37"/>
      <c r="FS24" s="37"/>
      <c r="FT24" s="37"/>
      <c r="FU24" s="37"/>
      <c r="FV24" s="37"/>
      <c r="FW24" s="37"/>
      <c r="FX24" s="37"/>
      <c r="FY24" s="37"/>
      <c r="FZ24" s="37"/>
      <c r="GA24" s="37"/>
      <c r="GB24" s="37"/>
      <c r="GC24" s="37"/>
      <c r="GD24" s="37"/>
      <c r="GE24" s="37"/>
      <c r="GF24" s="37"/>
      <c r="GG24" s="37"/>
      <c r="GH24" s="37"/>
      <c r="GI24" s="37"/>
      <c r="GJ24" s="37"/>
      <c r="GK24" s="37"/>
      <c r="GL24" s="37"/>
      <c r="GM24" s="37"/>
      <c r="GN24" s="37"/>
      <c r="GO24" s="37"/>
      <c r="GP24" s="37"/>
      <c r="GQ24" s="37"/>
      <c r="GR24" s="37"/>
      <c r="GS24" s="37"/>
      <c r="GT24" s="37"/>
      <c r="GU24" s="37"/>
      <c r="GV24" s="37"/>
      <c r="GW24" s="37"/>
      <c r="GX24" s="37"/>
      <c r="GY24" s="37"/>
      <c r="GZ24" s="37"/>
      <c r="HA24" s="37"/>
      <c r="HB24" s="37"/>
      <c r="HC24" s="37"/>
      <c r="HD24" s="37"/>
      <c r="HE24" s="37"/>
      <c r="HF24" s="37"/>
      <c r="HG24" s="37"/>
      <c r="HH24" s="37"/>
      <c r="HI24" s="37"/>
      <c r="HJ24" s="37"/>
      <c r="HK24" s="37"/>
      <c r="HL24" s="37"/>
      <c r="HM24" s="37"/>
      <c r="HN24" s="37"/>
      <c r="HO24" s="37"/>
      <c r="HP24" s="37"/>
      <c r="HQ24" s="37"/>
      <c r="HR24" s="37"/>
      <c r="HS24" s="37"/>
      <c r="HT24" s="37"/>
      <c r="HU24" s="37"/>
      <c r="HV24" s="37"/>
      <c r="HW24" s="37"/>
      <c r="HX24" s="37"/>
      <c r="HY24" s="37"/>
      <c r="HZ24" s="37"/>
      <c r="IA24" s="37"/>
      <c r="IB24" s="37"/>
      <c r="IC24" s="37"/>
      <c r="ID24" s="37"/>
      <c r="IE24" s="37"/>
      <c r="IF24" s="37"/>
      <c r="IG24" s="37"/>
      <c r="IH24" s="37"/>
      <c r="II24" s="37"/>
      <c r="IJ24" s="37"/>
      <c r="IK24" s="37"/>
      <c r="IL24" s="37"/>
      <c r="IM24" s="37"/>
      <c r="IN24" s="37"/>
      <c r="IO24" s="37"/>
      <c r="IP24" s="37"/>
      <c r="IQ24" s="37"/>
      <c r="IR24" s="37"/>
      <c r="IS24" s="37"/>
      <c r="IT24" s="37"/>
      <c r="IU24" s="37"/>
      <c r="IV24" s="37"/>
      <c r="IW24" s="37"/>
    </row>
    <row r="25" spans="1:257" ht="12.75" customHeight="1">
      <c r="A25" s="37"/>
      <c r="B25" s="131"/>
      <c r="C25" s="37"/>
      <c r="D25" s="37"/>
      <c r="E25" s="37"/>
      <c r="F25" s="37"/>
      <c r="G25" s="37"/>
      <c r="H25" s="37"/>
      <c r="I25" s="37"/>
      <c r="J25" s="37"/>
      <c r="K25" s="37"/>
      <c r="L25" s="37"/>
      <c r="M25" s="37"/>
      <c r="N25" s="37"/>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c r="DI25" s="37"/>
      <c r="DJ25" s="37"/>
      <c r="DK25" s="37"/>
      <c r="DL25" s="37"/>
      <c r="DM25" s="37"/>
      <c r="DN25" s="37"/>
      <c r="DO25" s="37"/>
      <c r="DP25" s="37"/>
      <c r="DQ25" s="37"/>
      <c r="DR25" s="37"/>
      <c r="DS25" s="37"/>
      <c r="DT25" s="37"/>
      <c r="DU25" s="37"/>
      <c r="DV25" s="37"/>
      <c r="DW25" s="37"/>
      <c r="DX25" s="37"/>
      <c r="DY25" s="37"/>
      <c r="DZ25" s="37"/>
      <c r="EA25" s="37"/>
      <c r="EB25" s="37"/>
      <c r="EC25" s="37"/>
      <c r="ED25" s="37"/>
      <c r="EE25" s="37"/>
      <c r="EF25" s="37"/>
      <c r="EG25" s="37"/>
      <c r="EH25" s="37"/>
      <c r="EI25" s="37"/>
      <c r="EJ25" s="37"/>
      <c r="EK25" s="37"/>
      <c r="EL25" s="37"/>
      <c r="EM25" s="37"/>
      <c r="EN25" s="37"/>
      <c r="EO25" s="37"/>
      <c r="EP25" s="37"/>
      <c r="EQ25" s="37"/>
      <c r="ER25" s="37"/>
      <c r="ES25" s="37"/>
      <c r="ET25" s="37"/>
      <c r="EU25" s="37"/>
      <c r="EV25" s="37"/>
      <c r="EW25" s="37"/>
      <c r="EX25" s="37"/>
      <c r="EY25" s="37"/>
      <c r="EZ25" s="37"/>
      <c r="FA25" s="37"/>
      <c r="FB25" s="37"/>
      <c r="FC25" s="37"/>
      <c r="FD25" s="37"/>
      <c r="FE25" s="37"/>
      <c r="FF25" s="37"/>
      <c r="FG25" s="37"/>
      <c r="FH25" s="37"/>
      <c r="FI25" s="37"/>
      <c r="FJ25" s="37"/>
      <c r="FK25" s="37"/>
      <c r="FL25" s="37"/>
      <c r="FM25" s="37"/>
      <c r="FN25" s="37"/>
      <c r="FO25" s="37"/>
      <c r="FP25" s="37"/>
      <c r="FQ25" s="37"/>
      <c r="FR25" s="37"/>
      <c r="FS25" s="37"/>
      <c r="FT25" s="37"/>
      <c r="FU25" s="37"/>
      <c r="FV25" s="37"/>
      <c r="FW25" s="37"/>
      <c r="FX25" s="37"/>
      <c r="FY25" s="37"/>
      <c r="FZ25" s="37"/>
      <c r="GA25" s="37"/>
      <c r="GB25" s="37"/>
      <c r="GC25" s="37"/>
      <c r="GD25" s="37"/>
      <c r="GE25" s="37"/>
      <c r="GF25" s="37"/>
      <c r="GG25" s="37"/>
      <c r="GH25" s="37"/>
      <c r="GI25" s="37"/>
      <c r="GJ25" s="37"/>
      <c r="GK25" s="37"/>
      <c r="GL25" s="37"/>
      <c r="GM25" s="37"/>
      <c r="GN25" s="37"/>
      <c r="GO25" s="37"/>
      <c r="GP25" s="37"/>
      <c r="GQ25" s="37"/>
      <c r="GR25" s="37"/>
      <c r="GS25" s="37"/>
      <c r="GT25" s="37"/>
      <c r="GU25" s="37"/>
      <c r="GV25" s="37"/>
      <c r="GW25" s="37"/>
      <c r="GX25" s="37"/>
      <c r="GY25" s="37"/>
      <c r="GZ25" s="37"/>
      <c r="HA25" s="37"/>
      <c r="HB25" s="37"/>
      <c r="HC25" s="37"/>
      <c r="HD25" s="37"/>
      <c r="HE25" s="37"/>
      <c r="HF25" s="37"/>
      <c r="HG25" s="37"/>
      <c r="HH25" s="37"/>
      <c r="HI25" s="37"/>
      <c r="HJ25" s="37"/>
      <c r="HK25" s="37"/>
      <c r="HL25" s="37"/>
      <c r="HM25" s="37"/>
      <c r="HN25" s="37"/>
      <c r="HO25" s="37"/>
      <c r="HP25" s="37"/>
      <c r="HQ25" s="37"/>
      <c r="HR25" s="37"/>
      <c r="HS25" s="37"/>
      <c r="HT25" s="37"/>
      <c r="HU25" s="37"/>
      <c r="HV25" s="37"/>
      <c r="HW25" s="37"/>
      <c r="HX25" s="37"/>
      <c r="HY25" s="37"/>
      <c r="HZ25" s="37"/>
      <c r="IA25" s="37"/>
      <c r="IB25" s="37"/>
      <c r="IC25" s="37"/>
      <c r="ID25" s="37"/>
      <c r="IE25" s="37"/>
      <c r="IF25" s="37"/>
      <c r="IG25" s="37"/>
      <c r="IH25" s="37"/>
      <c r="II25" s="37"/>
      <c r="IJ25" s="37"/>
      <c r="IK25" s="37"/>
      <c r="IL25" s="37"/>
      <c r="IM25" s="37"/>
      <c r="IN25" s="37"/>
      <c r="IO25" s="37"/>
      <c r="IP25" s="37"/>
      <c r="IQ25" s="37"/>
      <c r="IR25" s="37"/>
      <c r="IS25" s="37"/>
      <c r="IT25" s="37"/>
      <c r="IU25" s="37"/>
      <c r="IV25" s="37"/>
      <c r="IW25" s="37"/>
    </row>
    <row r="26" spans="1:257" ht="12.75" customHeight="1">
      <c r="A26" s="37"/>
      <c r="B26" s="131"/>
      <c r="C26" s="37"/>
      <c r="D26" s="37"/>
      <c r="E26" s="37"/>
      <c r="F26" s="37"/>
      <c r="G26" s="37"/>
      <c r="H26" s="37"/>
      <c r="I26" s="37"/>
      <c r="J26" s="37"/>
      <c r="K26" s="37"/>
      <c r="L26" s="37"/>
      <c r="M26" s="37"/>
      <c r="N26" s="37"/>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c r="DH26" s="37"/>
      <c r="DI26" s="37"/>
      <c r="DJ26" s="37"/>
      <c r="DK26" s="37"/>
      <c r="DL26" s="37"/>
      <c r="DM26" s="37"/>
      <c r="DN26" s="37"/>
      <c r="DO26" s="37"/>
      <c r="DP26" s="37"/>
      <c r="DQ26" s="37"/>
      <c r="DR26" s="37"/>
      <c r="DS26" s="37"/>
      <c r="DT26" s="37"/>
      <c r="DU26" s="37"/>
      <c r="DV26" s="37"/>
      <c r="DW26" s="37"/>
      <c r="DX26" s="37"/>
      <c r="DY26" s="37"/>
      <c r="DZ26" s="37"/>
      <c r="EA26" s="37"/>
      <c r="EB26" s="37"/>
      <c r="EC26" s="37"/>
      <c r="ED26" s="37"/>
      <c r="EE26" s="37"/>
      <c r="EF26" s="37"/>
      <c r="EG26" s="37"/>
      <c r="EH26" s="37"/>
      <c r="EI26" s="37"/>
      <c r="EJ26" s="37"/>
      <c r="EK26" s="37"/>
      <c r="EL26" s="37"/>
      <c r="EM26" s="37"/>
      <c r="EN26" s="37"/>
      <c r="EO26" s="37"/>
      <c r="EP26" s="37"/>
      <c r="EQ26" s="37"/>
      <c r="ER26" s="37"/>
      <c r="ES26" s="37"/>
      <c r="ET26" s="37"/>
      <c r="EU26" s="37"/>
      <c r="EV26" s="37"/>
      <c r="EW26" s="37"/>
      <c r="EX26" s="37"/>
      <c r="EY26" s="37"/>
      <c r="EZ26" s="37"/>
      <c r="FA26" s="37"/>
      <c r="FB26" s="37"/>
      <c r="FC26" s="37"/>
      <c r="FD26" s="37"/>
      <c r="FE26" s="37"/>
      <c r="FF26" s="37"/>
      <c r="FG26" s="37"/>
      <c r="FH26" s="37"/>
      <c r="FI26" s="37"/>
      <c r="FJ26" s="37"/>
      <c r="FK26" s="37"/>
      <c r="FL26" s="37"/>
      <c r="FM26" s="37"/>
      <c r="FN26" s="37"/>
      <c r="FO26" s="37"/>
      <c r="FP26" s="37"/>
      <c r="FQ26" s="37"/>
      <c r="FR26" s="37"/>
      <c r="FS26" s="37"/>
      <c r="FT26" s="37"/>
      <c r="FU26" s="37"/>
      <c r="FV26" s="37"/>
      <c r="FW26" s="37"/>
      <c r="FX26" s="37"/>
      <c r="FY26" s="37"/>
      <c r="FZ26" s="37"/>
      <c r="GA26" s="37"/>
      <c r="GB26" s="37"/>
      <c r="GC26" s="37"/>
      <c r="GD26" s="37"/>
      <c r="GE26" s="37"/>
      <c r="GF26" s="37"/>
      <c r="GG26" s="37"/>
      <c r="GH26" s="37"/>
      <c r="GI26" s="37"/>
      <c r="GJ26" s="37"/>
      <c r="GK26" s="37"/>
      <c r="GL26" s="37"/>
      <c r="GM26" s="37"/>
      <c r="GN26" s="37"/>
      <c r="GO26" s="37"/>
      <c r="GP26" s="37"/>
      <c r="GQ26" s="37"/>
      <c r="GR26" s="37"/>
      <c r="GS26" s="37"/>
      <c r="GT26" s="37"/>
      <c r="GU26" s="37"/>
      <c r="GV26" s="37"/>
      <c r="GW26" s="37"/>
      <c r="GX26" s="37"/>
      <c r="GY26" s="37"/>
      <c r="GZ26" s="37"/>
      <c r="HA26" s="37"/>
      <c r="HB26" s="37"/>
      <c r="HC26" s="37"/>
      <c r="HD26" s="37"/>
      <c r="HE26" s="37"/>
      <c r="HF26" s="37"/>
      <c r="HG26" s="37"/>
      <c r="HH26" s="37"/>
      <c r="HI26" s="37"/>
      <c r="HJ26" s="37"/>
      <c r="HK26" s="37"/>
      <c r="HL26" s="37"/>
      <c r="HM26" s="37"/>
      <c r="HN26" s="37"/>
      <c r="HO26" s="37"/>
      <c r="HP26" s="37"/>
      <c r="HQ26" s="37"/>
      <c r="HR26" s="37"/>
      <c r="HS26" s="37"/>
      <c r="HT26" s="37"/>
      <c r="HU26" s="37"/>
      <c r="HV26" s="37"/>
      <c r="HW26" s="37"/>
      <c r="HX26" s="37"/>
      <c r="HY26" s="37"/>
      <c r="HZ26" s="37"/>
      <c r="IA26" s="37"/>
      <c r="IB26" s="37"/>
      <c r="IC26" s="37"/>
      <c r="ID26" s="37"/>
      <c r="IE26" s="37"/>
      <c r="IF26" s="37"/>
      <c r="IG26" s="37"/>
      <c r="IH26" s="37"/>
      <c r="II26" s="37"/>
      <c r="IJ26" s="37"/>
      <c r="IK26" s="37"/>
      <c r="IL26" s="37"/>
      <c r="IM26" s="37"/>
      <c r="IN26" s="37"/>
      <c r="IO26" s="37"/>
      <c r="IP26" s="37"/>
      <c r="IQ26" s="37"/>
      <c r="IR26" s="37"/>
      <c r="IS26" s="37"/>
      <c r="IT26" s="37"/>
      <c r="IU26" s="37"/>
      <c r="IV26" s="37"/>
      <c r="IW26" s="37"/>
    </row>
    <row r="27" spans="1:257" ht="12.75" customHeight="1">
      <c r="A27" s="37"/>
      <c r="B27" s="131"/>
      <c r="C27" s="37"/>
      <c r="D27" s="37"/>
      <c r="E27" s="37"/>
      <c r="F27" s="37"/>
      <c r="G27" s="37"/>
      <c r="H27" s="37"/>
      <c r="I27" s="37"/>
      <c r="J27" s="37"/>
      <c r="K27" s="37"/>
      <c r="L27" s="37"/>
      <c r="M27" s="37"/>
      <c r="N27" s="37"/>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c r="DI27" s="37"/>
      <c r="DJ27" s="37"/>
      <c r="DK27" s="37"/>
      <c r="DL27" s="37"/>
      <c r="DM27" s="37"/>
      <c r="DN27" s="37"/>
      <c r="DO27" s="37"/>
      <c r="DP27" s="37"/>
      <c r="DQ27" s="37"/>
      <c r="DR27" s="37"/>
      <c r="DS27" s="37"/>
      <c r="DT27" s="37"/>
      <c r="DU27" s="37"/>
      <c r="DV27" s="37"/>
      <c r="DW27" s="37"/>
      <c r="DX27" s="37"/>
      <c r="DY27" s="37"/>
      <c r="DZ27" s="37"/>
      <c r="EA27" s="37"/>
      <c r="EB27" s="37"/>
      <c r="EC27" s="37"/>
      <c r="ED27" s="37"/>
      <c r="EE27" s="37"/>
      <c r="EF27" s="37"/>
      <c r="EG27" s="37"/>
      <c r="EH27" s="37"/>
      <c r="EI27" s="37"/>
      <c r="EJ27" s="37"/>
      <c r="EK27" s="37"/>
      <c r="EL27" s="37"/>
      <c r="EM27" s="37"/>
      <c r="EN27" s="37"/>
      <c r="EO27" s="37"/>
      <c r="EP27" s="37"/>
      <c r="EQ27" s="37"/>
      <c r="ER27" s="37"/>
      <c r="ES27" s="37"/>
      <c r="ET27" s="37"/>
      <c r="EU27" s="37"/>
      <c r="EV27" s="37"/>
      <c r="EW27" s="37"/>
      <c r="EX27" s="37"/>
      <c r="EY27" s="37"/>
      <c r="EZ27" s="37"/>
      <c r="FA27" s="37"/>
      <c r="FB27" s="37"/>
      <c r="FC27" s="37"/>
      <c r="FD27" s="37"/>
      <c r="FE27" s="37"/>
      <c r="FF27" s="37"/>
      <c r="FG27" s="37"/>
      <c r="FH27" s="37"/>
      <c r="FI27" s="37"/>
      <c r="FJ27" s="37"/>
      <c r="FK27" s="37"/>
      <c r="FL27" s="37"/>
      <c r="FM27" s="37"/>
      <c r="FN27" s="37"/>
      <c r="FO27" s="37"/>
      <c r="FP27" s="37"/>
      <c r="FQ27" s="37"/>
      <c r="FR27" s="37"/>
      <c r="FS27" s="37"/>
      <c r="FT27" s="37"/>
      <c r="FU27" s="37"/>
      <c r="FV27" s="37"/>
      <c r="FW27" s="37"/>
      <c r="FX27" s="37"/>
      <c r="FY27" s="37"/>
      <c r="FZ27" s="37"/>
      <c r="GA27" s="37"/>
      <c r="GB27" s="37"/>
      <c r="GC27" s="37"/>
      <c r="GD27" s="37"/>
      <c r="GE27" s="37"/>
      <c r="GF27" s="37"/>
      <c r="GG27" s="37"/>
      <c r="GH27" s="37"/>
      <c r="GI27" s="37"/>
      <c r="GJ27" s="37"/>
      <c r="GK27" s="37"/>
      <c r="GL27" s="37"/>
      <c r="GM27" s="37"/>
      <c r="GN27" s="37"/>
      <c r="GO27" s="37"/>
      <c r="GP27" s="37"/>
      <c r="GQ27" s="37"/>
      <c r="GR27" s="37"/>
      <c r="GS27" s="37"/>
      <c r="GT27" s="37"/>
      <c r="GU27" s="37"/>
      <c r="GV27" s="37"/>
      <c r="GW27" s="37"/>
      <c r="GX27" s="37"/>
      <c r="GY27" s="37"/>
      <c r="GZ27" s="37"/>
      <c r="HA27" s="37"/>
      <c r="HB27" s="37"/>
      <c r="HC27" s="37"/>
      <c r="HD27" s="37"/>
      <c r="HE27" s="37"/>
      <c r="HF27" s="37"/>
      <c r="HG27" s="37"/>
      <c r="HH27" s="37"/>
      <c r="HI27" s="37"/>
      <c r="HJ27" s="37"/>
      <c r="HK27" s="37"/>
      <c r="HL27" s="37"/>
      <c r="HM27" s="37"/>
      <c r="HN27" s="37"/>
      <c r="HO27" s="37"/>
      <c r="HP27" s="37"/>
      <c r="HQ27" s="37"/>
      <c r="HR27" s="37"/>
      <c r="HS27" s="37"/>
      <c r="HT27" s="37"/>
      <c r="HU27" s="37"/>
      <c r="HV27" s="37"/>
      <c r="HW27" s="37"/>
      <c r="HX27" s="37"/>
      <c r="HY27" s="37"/>
      <c r="HZ27" s="37"/>
      <c r="IA27" s="37"/>
      <c r="IB27" s="37"/>
      <c r="IC27" s="37"/>
      <c r="ID27" s="37"/>
      <c r="IE27" s="37"/>
      <c r="IF27" s="37"/>
      <c r="IG27" s="37"/>
      <c r="IH27" s="37"/>
      <c r="II27" s="37"/>
      <c r="IJ27" s="37"/>
      <c r="IK27" s="37"/>
      <c r="IL27" s="37"/>
      <c r="IM27" s="37"/>
      <c r="IN27" s="37"/>
      <c r="IO27" s="37"/>
      <c r="IP27" s="37"/>
      <c r="IQ27" s="37"/>
      <c r="IR27" s="37"/>
      <c r="IS27" s="37"/>
      <c r="IT27" s="37"/>
      <c r="IU27" s="37"/>
      <c r="IV27" s="37"/>
      <c r="IW27" s="37"/>
    </row>
    <row r="28" spans="1:257" ht="12.75" customHeight="1">
      <c r="A28" s="37"/>
      <c r="B28" s="131"/>
      <c r="C28" s="37"/>
      <c r="D28" s="37"/>
      <c r="E28" s="37"/>
      <c r="F28" s="37"/>
      <c r="G28" s="37"/>
      <c r="H28" s="37"/>
      <c r="I28" s="37"/>
      <c r="J28" s="37"/>
      <c r="K28" s="37"/>
      <c r="L28" s="37"/>
      <c r="M28" s="37"/>
      <c r="N28" s="37"/>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c r="DI28" s="37"/>
      <c r="DJ28" s="37"/>
      <c r="DK28" s="37"/>
      <c r="DL28" s="37"/>
      <c r="DM28" s="37"/>
      <c r="DN28" s="37"/>
      <c r="DO28" s="37"/>
      <c r="DP28" s="37"/>
      <c r="DQ28" s="37"/>
      <c r="DR28" s="37"/>
      <c r="DS28" s="37"/>
      <c r="DT28" s="37"/>
      <c r="DU28" s="37"/>
      <c r="DV28" s="37"/>
      <c r="DW28" s="37"/>
      <c r="DX28" s="37"/>
      <c r="DY28" s="37"/>
      <c r="DZ28" s="37"/>
      <c r="EA28" s="37"/>
      <c r="EB28" s="37"/>
      <c r="EC28" s="37"/>
      <c r="ED28" s="37"/>
      <c r="EE28" s="37"/>
      <c r="EF28" s="37"/>
      <c r="EG28" s="37"/>
      <c r="EH28" s="37"/>
      <c r="EI28" s="37"/>
      <c r="EJ28" s="37"/>
      <c r="EK28" s="37"/>
      <c r="EL28" s="37"/>
      <c r="EM28" s="37"/>
      <c r="EN28" s="37"/>
      <c r="EO28" s="37"/>
      <c r="EP28" s="37"/>
      <c r="EQ28" s="37"/>
      <c r="ER28" s="37"/>
      <c r="ES28" s="37"/>
      <c r="ET28" s="37"/>
      <c r="EU28" s="37"/>
      <c r="EV28" s="37"/>
      <c r="EW28" s="37"/>
      <c r="EX28" s="37"/>
      <c r="EY28" s="37"/>
      <c r="EZ28" s="37"/>
      <c r="FA28" s="37"/>
      <c r="FB28" s="37"/>
      <c r="FC28" s="37"/>
      <c r="FD28" s="37"/>
      <c r="FE28" s="37"/>
      <c r="FF28" s="37"/>
      <c r="FG28" s="37"/>
      <c r="FH28" s="37"/>
      <c r="FI28" s="37"/>
      <c r="FJ28" s="37"/>
      <c r="FK28" s="37"/>
      <c r="FL28" s="37"/>
      <c r="FM28" s="37"/>
      <c r="FN28" s="37"/>
      <c r="FO28" s="37"/>
      <c r="FP28" s="37"/>
      <c r="FQ28" s="37"/>
      <c r="FR28" s="37"/>
      <c r="FS28" s="37"/>
      <c r="FT28" s="37"/>
      <c r="FU28" s="37"/>
      <c r="FV28" s="37"/>
      <c r="FW28" s="37"/>
      <c r="FX28" s="37"/>
      <c r="FY28" s="37"/>
      <c r="FZ28" s="37"/>
      <c r="GA28" s="37"/>
      <c r="GB28" s="37"/>
      <c r="GC28" s="37"/>
      <c r="GD28" s="37"/>
      <c r="GE28" s="37"/>
      <c r="GF28" s="37"/>
      <c r="GG28" s="37"/>
      <c r="GH28" s="37"/>
      <c r="GI28" s="37"/>
      <c r="GJ28" s="37"/>
      <c r="GK28" s="37"/>
      <c r="GL28" s="37"/>
      <c r="GM28" s="37"/>
      <c r="GN28" s="37"/>
      <c r="GO28" s="37"/>
      <c r="GP28" s="37"/>
      <c r="GQ28" s="37"/>
      <c r="GR28" s="37"/>
      <c r="GS28" s="37"/>
      <c r="GT28" s="37"/>
      <c r="GU28" s="37"/>
      <c r="GV28" s="37"/>
      <c r="GW28" s="37"/>
      <c r="GX28" s="37"/>
      <c r="GY28" s="37"/>
      <c r="GZ28" s="37"/>
      <c r="HA28" s="37"/>
      <c r="HB28" s="37"/>
      <c r="HC28" s="37"/>
      <c r="HD28" s="37"/>
      <c r="HE28" s="37"/>
      <c r="HF28" s="37"/>
      <c r="HG28" s="37"/>
      <c r="HH28" s="37"/>
      <c r="HI28" s="37"/>
      <c r="HJ28" s="37"/>
      <c r="HK28" s="37"/>
      <c r="HL28" s="37"/>
      <c r="HM28" s="37"/>
      <c r="HN28" s="37"/>
      <c r="HO28" s="37"/>
      <c r="HP28" s="37"/>
      <c r="HQ28" s="37"/>
      <c r="HR28" s="37"/>
      <c r="HS28" s="37"/>
      <c r="HT28" s="37"/>
      <c r="HU28" s="37"/>
      <c r="HV28" s="37"/>
      <c r="HW28" s="37"/>
      <c r="HX28" s="37"/>
      <c r="HY28" s="37"/>
      <c r="HZ28" s="37"/>
      <c r="IA28" s="37"/>
      <c r="IB28" s="37"/>
      <c r="IC28" s="37"/>
      <c r="ID28" s="37"/>
      <c r="IE28" s="37"/>
      <c r="IF28" s="37"/>
      <c r="IG28" s="37"/>
      <c r="IH28" s="37"/>
      <c r="II28" s="37"/>
      <c r="IJ28" s="37"/>
      <c r="IK28" s="37"/>
      <c r="IL28" s="37"/>
      <c r="IM28" s="37"/>
      <c r="IN28" s="37"/>
      <c r="IO28" s="37"/>
      <c r="IP28" s="37"/>
      <c r="IQ28" s="37"/>
      <c r="IR28" s="37"/>
      <c r="IS28" s="37"/>
      <c r="IT28" s="37"/>
      <c r="IU28" s="37"/>
      <c r="IV28" s="37"/>
      <c r="IW28" s="37"/>
    </row>
    <row r="29" spans="1:257" ht="12.75" customHeight="1">
      <c r="A29" s="37"/>
      <c r="B29" s="131"/>
      <c r="C29" s="37"/>
      <c r="D29" s="37"/>
      <c r="E29" s="37"/>
      <c r="F29" s="37"/>
      <c r="G29" s="37"/>
      <c r="H29" s="37"/>
      <c r="I29" s="37"/>
      <c r="J29" s="37"/>
      <c r="K29" s="37"/>
      <c r="L29" s="37"/>
      <c r="M29" s="37"/>
      <c r="N29" s="37"/>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c r="DH29" s="37"/>
      <c r="DI29" s="37"/>
      <c r="DJ29" s="37"/>
      <c r="DK29" s="37"/>
      <c r="DL29" s="37"/>
      <c r="DM29" s="37"/>
      <c r="DN29" s="37"/>
      <c r="DO29" s="37"/>
      <c r="DP29" s="37"/>
      <c r="DQ29" s="37"/>
      <c r="DR29" s="37"/>
      <c r="DS29" s="37"/>
      <c r="DT29" s="37"/>
      <c r="DU29" s="37"/>
      <c r="DV29" s="37"/>
      <c r="DW29" s="37"/>
      <c r="DX29" s="37"/>
      <c r="DY29" s="37"/>
      <c r="DZ29" s="37"/>
      <c r="EA29" s="37"/>
      <c r="EB29" s="37"/>
      <c r="EC29" s="37"/>
      <c r="ED29" s="37"/>
      <c r="EE29" s="37"/>
      <c r="EF29" s="37"/>
      <c r="EG29" s="37"/>
      <c r="EH29" s="37"/>
      <c r="EI29" s="37"/>
      <c r="EJ29" s="37"/>
      <c r="EK29" s="37"/>
      <c r="EL29" s="37"/>
      <c r="EM29" s="37"/>
      <c r="EN29" s="37"/>
      <c r="EO29" s="37"/>
      <c r="EP29" s="37"/>
      <c r="EQ29" s="37"/>
      <c r="ER29" s="37"/>
      <c r="ES29" s="37"/>
      <c r="ET29" s="37"/>
      <c r="EU29" s="37"/>
      <c r="EV29" s="37"/>
      <c r="EW29" s="37"/>
      <c r="EX29" s="37"/>
      <c r="EY29" s="37"/>
      <c r="EZ29" s="37"/>
      <c r="FA29" s="37"/>
      <c r="FB29" s="37"/>
      <c r="FC29" s="37"/>
      <c r="FD29" s="37"/>
      <c r="FE29" s="37"/>
      <c r="FF29" s="37"/>
      <c r="FG29" s="37"/>
      <c r="FH29" s="37"/>
      <c r="FI29" s="37"/>
      <c r="FJ29" s="37"/>
      <c r="FK29" s="37"/>
      <c r="FL29" s="37"/>
      <c r="FM29" s="37"/>
      <c r="FN29" s="37"/>
      <c r="FO29" s="37"/>
      <c r="FP29" s="37"/>
      <c r="FQ29" s="37"/>
      <c r="FR29" s="37"/>
      <c r="FS29" s="37"/>
      <c r="FT29" s="37"/>
      <c r="FU29" s="37"/>
      <c r="FV29" s="37"/>
      <c r="FW29" s="37"/>
      <c r="FX29" s="37"/>
      <c r="FY29" s="37"/>
      <c r="FZ29" s="37"/>
      <c r="GA29" s="37"/>
      <c r="GB29" s="37"/>
      <c r="GC29" s="37"/>
      <c r="GD29" s="37"/>
      <c r="GE29" s="37"/>
      <c r="GF29" s="37"/>
      <c r="GG29" s="37"/>
      <c r="GH29" s="37"/>
      <c r="GI29" s="37"/>
      <c r="GJ29" s="37"/>
      <c r="GK29" s="37"/>
      <c r="GL29" s="37"/>
      <c r="GM29" s="37"/>
      <c r="GN29" s="37"/>
      <c r="GO29" s="37"/>
      <c r="GP29" s="37"/>
      <c r="GQ29" s="37"/>
      <c r="GR29" s="37"/>
      <c r="GS29" s="37"/>
      <c r="GT29" s="37"/>
      <c r="GU29" s="37"/>
      <c r="GV29" s="37"/>
      <c r="GW29" s="37"/>
      <c r="GX29" s="37"/>
      <c r="GY29" s="37"/>
      <c r="GZ29" s="37"/>
      <c r="HA29" s="37"/>
      <c r="HB29" s="37"/>
      <c r="HC29" s="37"/>
      <c r="HD29" s="37"/>
      <c r="HE29" s="37"/>
      <c r="HF29" s="37"/>
      <c r="HG29" s="37"/>
      <c r="HH29" s="37"/>
      <c r="HI29" s="37"/>
      <c r="HJ29" s="37"/>
      <c r="HK29" s="37"/>
      <c r="HL29" s="37"/>
      <c r="HM29" s="37"/>
      <c r="HN29" s="37"/>
      <c r="HO29" s="37"/>
      <c r="HP29" s="37"/>
      <c r="HQ29" s="37"/>
      <c r="HR29" s="37"/>
      <c r="HS29" s="37"/>
      <c r="HT29" s="37"/>
      <c r="HU29" s="37"/>
      <c r="HV29" s="37"/>
      <c r="HW29" s="37"/>
      <c r="HX29" s="37"/>
      <c r="HY29" s="37"/>
      <c r="HZ29" s="37"/>
      <c r="IA29" s="37"/>
      <c r="IB29" s="37"/>
      <c r="IC29" s="37"/>
      <c r="ID29" s="37"/>
      <c r="IE29" s="37"/>
      <c r="IF29" s="37"/>
      <c r="IG29" s="37"/>
      <c r="IH29" s="37"/>
      <c r="II29" s="37"/>
      <c r="IJ29" s="37"/>
      <c r="IK29" s="37"/>
      <c r="IL29" s="37"/>
      <c r="IM29" s="37"/>
      <c r="IN29" s="37"/>
      <c r="IO29" s="37"/>
      <c r="IP29" s="37"/>
      <c r="IQ29" s="37"/>
      <c r="IR29" s="37"/>
      <c r="IS29" s="37"/>
      <c r="IT29" s="37"/>
      <c r="IU29" s="37"/>
      <c r="IV29" s="37"/>
      <c r="IW29" s="37"/>
    </row>
    <row r="30" spans="1:257" ht="12.75" customHeight="1">
      <c r="A30" s="37"/>
      <c r="B30" s="131"/>
      <c r="C30" s="37"/>
      <c r="D30" s="37"/>
      <c r="E30" s="37"/>
      <c r="F30" s="37"/>
      <c r="G30" s="37"/>
      <c r="H30" s="37"/>
      <c r="I30" s="37"/>
      <c r="J30" s="37"/>
      <c r="K30" s="37"/>
      <c r="L30" s="37"/>
      <c r="M30" s="37"/>
      <c r="N30" s="37"/>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c r="DA30" s="37"/>
      <c r="DB30" s="37"/>
      <c r="DC30" s="37"/>
      <c r="DD30" s="37"/>
      <c r="DE30" s="37"/>
      <c r="DF30" s="37"/>
      <c r="DG30" s="37"/>
      <c r="DH30" s="37"/>
      <c r="DI30" s="37"/>
      <c r="DJ30" s="37"/>
      <c r="DK30" s="37"/>
      <c r="DL30" s="37"/>
      <c r="DM30" s="37"/>
      <c r="DN30" s="37"/>
      <c r="DO30" s="37"/>
      <c r="DP30" s="37"/>
      <c r="DQ30" s="37"/>
      <c r="DR30" s="37"/>
      <c r="DS30" s="37"/>
      <c r="DT30" s="37"/>
      <c r="DU30" s="37"/>
      <c r="DV30" s="37"/>
      <c r="DW30" s="37"/>
      <c r="DX30" s="37"/>
      <c r="DY30" s="37"/>
      <c r="DZ30" s="37"/>
      <c r="EA30" s="37"/>
      <c r="EB30" s="37"/>
      <c r="EC30" s="37"/>
      <c r="ED30" s="37"/>
      <c r="EE30" s="37"/>
      <c r="EF30" s="37"/>
      <c r="EG30" s="37"/>
      <c r="EH30" s="37"/>
      <c r="EI30" s="37"/>
      <c r="EJ30" s="37"/>
      <c r="EK30" s="37"/>
      <c r="EL30" s="37"/>
      <c r="EM30" s="37"/>
      <c r="EN30" s="37"/>
      <c r="EO30" s="37"/>
      <c r="EP30" s="37"/>
      <c r="EQ30" s="37"/>
      <c r="ER30" s="37"/>
      <c r="ES30" s="37"/>
      <c r="ET30" s="37"/>
      <c r="EU30" s="37"/>
      <c r="EV30" s="37"/>
      <c r="EW30" s="37"/>
      <c r="EX30" s="37"/>
      <c r="EY30" s="37"/>
      <c r="EZ30" s="37"/>
      <c r="FA30" s="37"/>
      <c r="FB30" s="37"/>
      <c r="FC30" s="37"/>
      <c r="FD30" s="37"/>
      <c r="FE30" s="37"/>
      <c r="FF30" s="37"/>
      <c r="FG30" s="37"/>
      <c r="FH30" s="37"/>
      <c r="FI30" s="37"/>
      <c r="FJ30" s="37"/>
      <c r="FK30" s="37"/>
      <c r="FL30" s="37"/>
      <c r="FM30" s="37"/>
      <c r="FN30" s="37"/>
      <c r="FO30" s="37"/>
      <c r="FP30" s="37"/>
      <c r="FQ30" s="37"/>
      <c r="FR30" s="37"/>
      <c r="FS30" s="37"/>
      <c r="FT30" s="37"/>
      <c r="FU30" s="37"/>
      <c r="FV30" s="37"/>
      <c r="FW30" s="37"/>
      <c r="FX30" s="37"/>
      <c r="FY30" s="37"/>
      <c r="FZ30" s="37"/>
      <c r="GA30" s="37"/>
      <c r="GB30" s="37"/>
      <c r="GC30" s="37"/>
      <c r="GD30" s="37"/>
      <c r="GE30" s="37"/>
      <c r="GF30" s="37"/>
      <c r="GG30" s="37"/>
      <c r="GH30" s="37"/>
      <c r="GI30" s="37"/>
      <c r="GJ30" s="37"/>
      <c r="GK30" s="37"/>
      <c r="GL30" s="37"/>
      <c r="GM30" s="37"/>
      <c r="GN30" s="37"/>
      <c r="GO30" s="37"/>
      <c r="GP30" s="37"/>
      <c r="GQ30" s="37"/>
      <c r="GR30" s="37"/>
      <c r="GS30" s="37"/>
      <c r="GT30" s="37"/>
      <c r="GU30" s="37"/>
      <c r="GV30" s="37"/>
      <c r="GW30" s="37"/>
      <c r="GX30" s="37"/>
      <c r="GY30" s="37"/>
      <c r="GZ30" s="37"/>
      <c r="HA30" s="37"/>
      <c r="HB30" s="37"/>
      <c r="HC30" s="37"/>
      <c r="HD30" s="37"/>
      <c r="HE30" s="37"/>
      <c r="HF30" s="37"/>
      <c r="HG30" s="37"/>
      <c r="HH30" s="37"/>
      <c r="HI30" s="37"/>
      <c r="HJ30" s="37"/>
      <c r="HK30" s="37"/>
      <c r="HL30" s="37"/>
      <c r="HM30" s="37"/>
      <c r="HN30" s="37"/>
      <c r="HO30" s="37"/>
      <c r="HP30" s="37"/>
      <c r="HQ30" s="37"/>
      <c r="HR30" s="37"/>
      <c r="HS30" s="37"/>
      <c r="HT30" s="37"/>
      <c r="HU30" s="37"/>
      <c r="HV30" s="37"/>
      <c r="HW30" s="37"/>
      <c r="HX30" s="37"/>
      <c r="HY30" s="37"/>
      <c r="HZ30" s="37"/>
      <c r="IA30" s="37"/>
      <c r="IB30" s="37"/>
      <c r="IC30" s="37"/>
      <c r="ID30" s="37"/>
      <c r="IE30" s="37"/>
      <c r="IF30" s="37"/>
      <c r="IG30" s="37"/>
      <c r="IH30" s="37"/>
      <c r="II30" s="37"/>
      <c r="IJ30" s="37"/>
      <c r="IK30" s="37"/>
      <c r="IL30" s="37"/>
      <c r="IM30" s="37"/>
      <c r="IN30" s="37"/>
      <c r="IO30" s="37"/>
      <c r="IP30" s="37"/>
      <c r="IQ30" s="37"/>
      <c r="IR30" s="37"/>
      <c r="IS30" s="37"/>
      <c r="IT30" s="37"/>
      <c r="IU30" s="37"/>
      <c r="IV30" s="37"/>
      <c r="IW30" s="37"/>
    </row>
    <row r="31" spans="1:257" ht="12.75" customHeight="1">
      <c r="A31" s="37"/>
      <c r="B31" s="131"/>
      <c r="C31" s="37"/>
      <c r="D31" s="37"/>
      <c r="E31" s="37"/>
      <c r="F31" s="37"/>
      <c r="G31" s="37"/>
      <c r="H31" s="37"/>
      <c r="I31" s="37"/>
      <c r="J31" s="37"/>
      <c r="K31" s="37"/>
      <c r="L31" s="37"/>
      <c r="M31" s="37"/>
      <c r="N31" s="37"/>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c r="CU31" s="37"/>
      <c r="CV31" s="37"/>
      <c r="CW31" s="37"/>
      <c r="CX31" s="37"/>
      <c r="CY31" s="37"/>
      <c r="CZ31" s="37"/>
      <c r="DA31" s="37"/>
      <c r="DB31" s="37"/>
      <c r="DC31" s="37"/>
      <c r="DD31" s="37"/>
      <c r="DE31" s="37"/>
      <c r="DF31" s="37"/>
      <c r="DG31" s="37"/>
      <c r="DH31" s="37"/>
      <c r="DI31" s="37"/>
      <c r="DJ31" s="37"/>
      <c r="DK31" s="37"/>
      <c r="DL31" s="37"/>
      <c r="DM31" s="37"/>
      <c r="DN31" s="37"/>
      <c r="DO31" s="37"/>
      <c r="DP31" s="37"/>
      <c r="DQ31" s="37"/>
      <c r="DR31" s="37"/>
      <c r="DS31" s="37"/>
      <c r="DT31" s="37"/>
      <c r="DU31" s="37"/>
      <c r="DV31" s="37"/>
      <c r="DW31" s="37"/>
      <c r="DX31" s="37"/>
      <c r="DY31" s="37"/>
      <c r="DZ31" s="37"/>
      <c r="EA31" s="37"/>
      <c r="EB31" s="37"/>
      <c r="EC31" s="37"/>
      <c r="ED31" s="37"/>
      <c r="EE31" s="37"/>
      <c r="EF31" s="37"/>
      <c r="EG31" s="37"/>
      <c r="EH31" s="37"/>
      <c r="EI31" s="37"/>
      <c r="EJ31" s="37"/>
      <c r="EK31" s="37"/>
      <c r="EL31" s="37"/>
      <c r="EM31" s="37"/>
      <c r="EN31" s="37"/>
      <c r="EO31" s="37"/>
      <c r="EP31" s="37"/>
      <c r="EQ31" s="37"/>
      <c r="ER31" s="37"/>
      <c r="ES31" s="37"/>
      <c r="ET31" s="37"/>
      <c r="EU31" s="37"/>
      <c r="EV31" s="37"/>
      <c r="EW31" s="37"/>
      <c r="EX31" s="37"/>
      <c r="EY31" s="37"/>
      <c r="EZ31" s="37"/>
      <c r="FA31" s="37"/>
      <c r="FB31" s="37"/>
      <c r="FC31" s="37"/>
      <c r="FD31" s="37"/>
      <c r="FE31" s="37"/>
      <c r="FF31" s="37"/>
      <c r="FG31" s="37"/>
      <c r="FH31" s="37"/>
      <c r="FI31" s="37"/>
      <c r="FJ31" s="37"/>
      <c r="FK31" s="37"/>
      <c r="FL31" s="37"/>
      <c r="FM31" s="37"/>
      <c r="FN31" s="37"/>
      <c r="FO31" s="37"/>
      <c r="FP31" s="37"/>
      <c r="FQ31" s="37"/>
      <c r="FR31" s="37"/>
      <c r="FS31" s="37"/>
      <c r="FT31" s="37"/>
      <c r="FU31" s="37"/>
      <c r="FV31" s="37"/>
      <c r="FW31" s="37"/>
      <c r="FX31" s="37"/>
      <c r="FY31" s="37"/>
      <c r="FZ31" s="37"/>
      <c r="GA31" s="37"/>
      <c r="GB31" s="37"/>
      <c r="GC31" s="37"/>
      <c r="GD31" s="37"/>
      <c r="GE31" s="37"/>
      <c r="GF31" s="37"/>
      <c r="GG31" s="37"/>
      <c r="GH31" s="37"/>
      <c r="GI31" s="37"/>
      <c r="GJ31" s="37"/>
      <c r="GK31" s="37"/>
      <c r="GL31" s="37"/>
      <c r="GM31" s="37"/>
      <c r="GN31" s="37"/>
      <c r="GO31" s="37"/>
      <c r="GP31" s="37"/>
      <c r="GQ31" s="37"/>
      <c r="GR31" s="37"/>
      <c r="GS31" s="37"/>
      <c r="GT31" s="37"/>
      <c r="GU31" s="37"/>
      <c r="GV31" s="37"/>
      <c r="GW31" s="37"/>
      <c r="GX31" s="37"/>
      <c r="GY31" s="37"/>
      <c r="GZ31" s="37"/>
      <c r="HA31" s="37"/>
      <c r="HB31" s="37"/>
      <c r="HC31" s="37"/>
      <c r="HD31" s="37"/>
      <c r="HE31" s="37"/>
      <c r="HF31" s="37"/>
      <c r="HG31" s="37"/>
      <c r="HH31" s="37"/>
      <c r="HI31" s="37"/>
      <c r="HJ31" s="37"/>
      <c r="HK31" s="37"/>
      <c r="HL31" s="37"/>
      <c r="HM31" s="37"/>
      <c r="HN31" s="37"/>
      <c r="HO31" s="37"/>
      <c r="HP31" s="37"/>
      <c r="HQ31" s="37"/>
      <c r="HR31" s="37"/>
      <c r="HS31" s="37"/>
      <c r="HT31" s="37"/>
      <c r="HU31" s="37"/>
      <c r="HV31" s="37"/>
      <c r="HW31" s="37"/>
      <c r="HX31" s="37"/>
      <c r="HY31" s="37"/>
      <c r="HZ31" s="37"/>
      <c r="IA31" s="37"/>
      <c r="IB31" s="37"/>
      <c r="IC31" s="37"/>
      <c r="ID31" s="37"/>
      <c r="IE31" s="37"/>
      <c r="IF31" s="37"/>
      <c r="IG31" s="37"/>
      <c r="IH31" s="37"/>
      <c r="II31" s="37"/>
      <c r="IJ31" s="37"/>
      <c r="IK31" s="37"/>
      <c r="IL31" s="37"/>
      <c r="IM31" s="37"/>
      <c r="IN31" s="37"/>
      <c r="IO31" s="37"/>
      <c r="IP31" s="37"/>
      <c r="IQ31" s="37"/>
      <c r="IR31" s="37"/>
      <c r="IS31" s="37"/>
      <c r="IT31" s="37"/>
      <c r="IU31" s="37"/>
      <c r="IV31" s="37"/>
      <c r="IW31" s="37"/>
    </row>
    <row r="32" spans="1:257" ht="12.75" customHeight="1">
      <c r="A32" s="37"/>
      <c r="B32" s="131"/>
      <c r="C32" s="37"/>
      <c r="D32" s="37"/>
      <c r="E32" s="37"/>
      <c r="F32" s="37"/>
      <c r="G32" s="37"/>
      <c r="H32" s="37"/>
      <c r="I32" s="37"/>
      <c r="J32" s="37"/>
      <c r="K32" s="37"/>
      <c r="L32" s="37"/>
      <c r="M32" s="37"/>
      <c r="N32" s="37"/>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c r="CO32" s="37"/>
      <c r="CP32" s="37"/>
      <c r="CQ32" s="37"/>
      <c r="CR32" s="37"/>
      <c r="CS32" s="37"/>
      <c r="CT32" s="37"/>
      <c r="CU32" s="37"/>
      <c r="CV32" s="37"/>
      <c r="CW32" s="37"/>
      <c r="CX32" s="37"/>
      <c r="CY32" s="37"/>
      <c r="CZ32" s="37"/>
      <c r="DA32" s="37"/>
      <c r="DB32" s="37"/>
      <c r="DC32" s="37"/>
      <c r="DD32" s="37"/>
      <c r="DE32" s="37"/>
      <c r="DF32" s="37"/>
      <c r="DG32" s="37"/>
      <c r="DH32" s="37"/>
      <c r="DI32" s="37"/>
      <c r="DJ32" s="37"/>
      <c r="DK32" s="37"/>
      <c r="DL32" s="37"/>
      <c r="DM32" s="37"/>
      <c r="DN32" s="37"/>
      <c r="DO32" s="37"/>
      <c r="DP32" s="37"/>
      <c r="DQ32" s="37"/>
      <c r="DR32" s="37"/>
      <c r="DS32" s="37"/>
      <c r="DT32" s="37"/>
      <c r="DU32" s="37"/>
      <c r="DV32" s="37"/>
      <c r="DW32" s="37"/>
      <c r="DX32" s="37"/>
      <c r="DY32" s="37"/>
      <c r="DZ32" s="37"/>
      <c r="EA32" s="37"/>
      <c r="EB32" s="37"/>
      <c r="EC32" s="37"/>
      <c r="ED32" s="37"/>
      <c r="EE32" s="37"/>
      <c r="EF32" s="37"/>
      <c r="EG32" s="37"/>
      <c r="EH32" s="37"/>
      <c r="EI32" s="37"/>
      <c r="EJ32" s="37"/>
      <c r="EK32" s="37"/>
      <c r="EL32" s="37"/>
      <c r="EM32" s="37"/>
      <c r="EN32" s="37"/>
      <c r="EO32" s="37"/>
      <c r="EP32" s="37"/>
      <c r="EQ32" s="37"/>
      <c r="ER32" s="37"/>
      <c r="ES32" s="37"/>
      <c r="ET32" s="37"/>
      <c r="EU32" s="37"/>
      <c r="EV32" s="37"/>
      <c r="EW32" s="37"/>
      <c r="EX32" s="37"/>
      <c r="EY32" s="37"/>
      <c r="EZ32" s="37"/>
      <c r="FA32" s="37"/>
      <c r="FB32" s="37"/>
      <c r="FC32" s="37"/>
      <c r="FD32" s="37"/>
      <c r="FE32" s="37"/>
      <c r="FF32" s="37"/>
      <c r="FG32" s="37"/>
      <c r="FH32" s="37"/>
      <c r="FI32" s="37"/>
      <c r="FJ32" s="37"/>
      <c r="FK32" s="37"/>
      <c r="FL32" s="37"/>
      <c r="FM32" s="37"/>
      <c r="FN32" s="37"/>
      <c r="FO32" s="37"/>
      <c r="FP32" s="37"/>
      <c r="FQ32" s="37"/>
      <c r="FR32" s="37"/>
      <c r="FS32" s="37"/>
      <c r="FT32" s="37"/>
      <c r="FU32" s="37"/>
      <c r="FV32" s="37"/>
      <c r="FW32" s="37"/>
      <c r="FX32" s="37"/>
      <c r="FY32" s="37"/>
      <c r="FZ32" s="37"/>
      <c r="GA32" s="37"/>
      <c r="GB32" s="37"/>
      <c r="GC32" s="37"/>
      <c r="GD32" s="37"/>
      <c r="GE32" s="37"/>
      <c r="GF32" s="37"/>
      <c r="GG32" s="37"/>
      <c r="GH32" s="37"/>
      <c r="GI32" s="37"/>
      <c r="GJ32" s="37"/>
      <c r="GK32" s="37"/>
      <c r="GL32" s="37"/>
      <c r="GM32" s="37"/>
      <c r="GN32" s="37"/>
      <c r="GO32" s="37"/>
      <c r="GP32" s="37"/>
      <c r="GQ32" s="37"/>
      <c r="GR32" s="37"/>
      <c r="GS32" s="37"/>
      <c r="GT32" s="37"/>
      <c r="GU32" s="37"/>
      <c r="GV32" s="37"/>
      <c r="GW32" s="37"/>
      <c r="GX32" s="37"/>
      <c r="GY32" s="37"/>
      <c r="GZ32" s="37"/>
      <c r="HA32" s="37"/>
      <c r="HB32" s="37"/>
      <c r="HC32" s="37"/>
      <c r="HD32" s="37"/>
      <c r="HE32" s="37"/>
      <c r="HF32" s="37"/>
      <c r="HG32" s="37"/>
      <c r="HH32" s="37"/>
      <c r="HI32" s="37"/>
      <c r="HJ32" s="37"/>
      <c r="HK32" s="37"/>
      <c r="HL32" s="37"/>
      <c r="HM32" s="37"/>
      <c r="HN32" s="37"/>
      <c r="HO32" s="37"/>
      <c r="HP32" s="37"/>
      <c r="HQ32" s="37"/>
      <c r="HR32" s="37"/>
      <c r="HS32" s="37"/>
      <c r="HT32" s="37"/>
      <c r="HU32" s="37"/>
      <c r="HV32" s="37"/>
      <c r="HW32" s="37"/>
      <c r="HX32" s="37"/>
      <c r="HY32" s="37"/>
      <c r="HZ32" s="37"/>
      <c r="IA32" s="37"/>
      <c r="IB32" s="37"/>
      <c r="IC32" s="37"/>
      <c r="ID32" s="37"/>
      <c r="IE32" s="37"/>
      <c r="IF32" s="37"/>
      <c r="IG32" s="37"/>
      <c r="IH32" s="37"/>
      <c r="II32" s="37"/>
      <c r="IJ32" s="37"/>
      <c r="IK32" s="37"/>
      <c r="IL32" s="37"/>
      <c r="IM32" s="37"/>
      <c r="IN32" s="37"/>
      <c r="IO32" s="37"/>
      <c r="IP32" s="37"/>
      <c r="IQ32" s="37"/>
      <c r="IR32" s="37"/>
      <c r="IS32" s="37"/>
      <c r="IT32" s="37"/>
      <c r="IU32" s="37"/>
      <c r="IV32" s="37"/>
      <c r="IW32" s="37"/>
    </row>
    <row r="33" spans="1:257" ht="12.75" customHeight="1">
      <c r="A33" s="37"/>
      <c r="B33" s="131"/>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c r="DA33" s="37"/>
      <c r="DB33" s="37"/>
      <c r="DC33" s="37"/>
      <c r="DD33" s="37"/>
      <c r="DE33" s="37"/>
      <c r="DF33" s="37"/>
      <c r="DG33" s="37"/>
      <c r="DH33" s="37"/>
      <c r="DI33" s="37"/>
      <c r="DJ33" s="37"/>
      <c r="DK33" s="37"/>
      <c r="DL33" s="37"/>
      <c r="DM33" s="37"/>
      <c r="DN33" s="37"/>
      <c r="DO33" s="37"/>
      <c r="DP33" s="37"/>
      <c r="DQ33" s="37"/>
      <c r="DR33" s="37"/>
      <c r="DS33" s="37"/>
      <c r="DT33" s="37"/>
      <c r="DU33" s="37"/>
      <c r="DV33" s="37"/>
      <c r="DW33" s="37"/>
      <c r="DX33" s="37"/>
      <c r="DY33" s="37"/>
      <c r="DZ33" s="37"/>
      <c r="EA33" s="37"/>
      <c r="EB33" s="37"/>
      <c r="EC33" s="37"/>
      <c r="ED33" s="37"/>
      <c r="EE33" s="37"/>
      <c r="EF33" s="37"/>
      <c r="EG33" s="37"/>
      <c r="EH33" s="37"/>
      <c r="EI33" s="37"/>
      <c r="EJ33" s="37"/>
      <c r="EK33" s="37"/>
      <c r="EL33" s="37"/>
      <c r="EM33" s="37"/>
      <c r="EN33" s="37"/>
      <c r="EO33" s="37"/>
      <c r="EP33" s="37"/>
      <c r="EQ33" s="37"/>
      <c r="ER33" s="37"/>
      <c r="ES33" s="37"/>
      <c r="ET33" s="37"/>
      <c r="EU33" s="37"/>
      <c r="EV33" s="37"/>
      <c r="EW33" s="37"/>
      <c r="EX33" s="37"/>
      <c r="EY33" s="37"/>
      <c r="EZ33" s="37"/>
      <c r="FA33" s="37"/>
      <c r="FB33" s="37"/>
      <c r="FC33" s="37"/>
      <c r="FD33" s="37"/>
      <c r="FE33" s="37"/>
      <c r="FF33" s="37"/>
      <c r="FG33" s="37"/>
      <c r="FH33" s="37"/>
      <c r="FI33" s="37"/>
      <c r="FJ33" s="37"/>
      <c r="FK33" s="37"/>
      <c r="FL33" s="37"/>
      <c r="FM33" s="37"/>
      <c r="FN33" s="37"/>
      <c r="FO33" s="37"/>
      <c r="FP33" s="37"/>
      <c r="FQ33" s="37"/>
      <c r="FR33" s="37"/>
      <c r="FS33" s="37"/>
      <c r="FT33" s="37"/>
      <c r="FU33" s="37"/>
      <c r="FV33" s="37"/>
      <c r="FW33" s="37"/>
      <c r="FX33" s="37"/>
      <c r="FY33" s="37"/>
      <c r="FZ33" s="37"/>
      <c r="GA33" s="37"/>
      <c r="GB33" s="37"/>
      <c r="GC33" s="37"/>
      <c r="GD33" s="37"/>
      <c r="GE33" s="37"/>
      <c r="GF33" s="37"/>
      <c r="GG33" s="37"/>
      <c r="GH33" s="37"/>
      <c r="GI33" s="37"/>
      <c r="GJ33" s="37"/>
      <c r="GK33" s="37"/>
      <c r="GL33" s="37"/>
      <c r="GM33" s="37"/>
      <c r="GN33" s="37"/>
      <c r="GO33" s="37"/>
      <c r="GP33" s="37"/>
      <c r="GQ33" s="37"/>
      <c r="GR33" s="37"/>
      <c r="GS33" s="37"/>
      <c r="GT33" s="37"/>
      <c r="GU33" s="37"/>
      <c r="GV33" s="37"/>
      <c r="GW33" s="37"/>
      <c r="GX33" s="37"/>
      <c r="GY33" s="37"/>
      <c r="GZ33" s="37"/>
      <c r="HA33" s="37"/>
      <c r="HB33" s="37"/>
      <c r="HC33" s="37"/>
      <c r="HD33" s="37"/>
      <c r="HE33" s="37"/>
      <c r="HF33" s="37"/>
      <c r="HG33" s="37"/>
      <c r="HH33" s="37"/>
      <c r="HI33" s="37"/>
      <c r="HJ33" s="37"/>
      <c r="HK33" s="37"/>
      <c r="HL33" s="37"/>
      <c r="HM33" s="37"/>
      <c r="HN33" s="37"/>
      <c r="HO33" s="37"/>
      <c r="HP33" s="37"/>
      <c r="HQ33" s="37"/>
      <c r="HR33" s="37"/>
      <c r="HS33" s="37"/>
      <c r="HT33" s="37"/>
      <c r="HU33" s="37"/>
      <c r="HV33" s="37"/>
      <c r="HW33" s="37"/>
      <c r="HX33" s="37"/>
      <c r="HY33" s="37"/>
      <c r="HZ33" s="37"/>
      <c r="IA33" s="37"/>
      <c r="IB33" s="37"/>
      <c r="IC33" s="37"/>
      <c r="ID33" s="37"/>
      <c r="IE33" s="37"/>
      <c r="IF33" s="37"/>
      <c r="IG33" s="37"/>
      <c r="IH33" s="37"/>
      <c r="II33" s="37"/>
      <c r="IJ33" s="37"/>
      <c r="IK33" s="37"/>
      <c r="IL33" s="37"/>
      <c r="IM33" s="37"/>
      <c r="IN33" s="37"/>
      <c r="IO33" s="37"/>
      <c r="IP33" s="37"/>
      <c r="IQ33" s="37"/>
      <c r="IR33" s="37"/>
      <c r="IS33" s="37"/>
      <c r="IT33" s="37"/>
      <c r="IU33" s="37"/>
      <c r="IV33" s="37"/>
      <c r="IW33" s="37"/>
    </row>
    <row r="34" spans="1:257" ht="12.75" customHeight="1">
      <c r="A34" s="37"/>
      <c r="B34" s="131"/>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c r="CP34" s="37"/>
      <c r="CQ34" s="37"/>
      <c r="CR34" s="37"/>
      <c r="CS34" s="37"/>
      <c r="CT34" s="37"/>
      <c r="CU34" s="37"/>
      <c r="CV34" s="37"/>
      <c r="CW34" s="37"/>
      <c r="CX34" s="37"/>
      <c r="CY34" s="37"/>
      <c r="CZ34" s="37"/>
      <c r="DA34" s="37"/>
      <c r="DB34" s="37"/>
      <c r="DC34" s="37"/>
      <c r="DD34" s="37"/>
      <c r="DE34" s="37"/>
      <c r="DF34" s="37"/>
      <c r="DG34" s="37"/>
      <c r="DH34" s="37"/>
      <c r="DI34" s="37"/>
      <c r="DJ34" s="37"/>
      <c r="DK34" s="37"/>
      <c r="DL34" s="37"/>
      <c r="DM34" s="37"/>
      <c r="DN34" s="37"/>
      <c r="DO34" s="37"/>
      <c r="DP34" s="37"/>
      <c r="DQ34" s="37"/>
      <c r="DR34" s="37"/>
      <c r="DS34" s="37"/>
      <c r="DT34" s="37"/>
      <c r="DU34" s="37"/>
      <c r="DV34" s="37"/>
      <c r="DW34" s="37"/>
      <c r="DX34" s="37"/>
      <c r="DY34" s="37"/>
      <c r="DZ34" s="37"/>
      <c r="EA34" s="37"/>
      <c r="EB34" s="37"/>
      <c r="EC34" s="37"/>
      <c r="ED34" s="37"/>
      <c r="EE34" s="37"/>
      <c r="EF34" s="37"/>
      <c r="EG34" s="37"/>
      <c r="EH34" s="37"/>
      <c r="EI34" s="37"/>
      <c r="EJ34" s="37"/>
      <c r="EK34" s="37"/>
      <c r="EL34" s="37"/>
      <c r="EM34" s="37"/>
      <c r="EN34" s="37"/>
      <c r="EO34" s="37"/>
      <c r="EP34" s="37"/>
      <c r="EQ34" s="37"/>
      <c r="ER34" s="37"/>
      <c r="ES34" s="37"/>
      <c r="ET34" s="37"/>
      <c r="EU34" s="37"/>
      <c r="EV34" s="37"/>
      <c r="EW34" s="37"/>
      <c r="EX34" s="37"/>
      <c r="EY34" s="37"/>
      <c r="EZ34" s="37"/>
      <c r="FA34" s="37"/>
      <c r="FB34" s="37"/>
      <c r="FC34" s="37"/>
      <c r="FD34" s="37"/>
      <c r="FE34" s="37"/>
      <c r="FF34" s="37"/>
      <c r="FG34" s="37"/>
      <c r="FH34" s="37"/>
      <c r="FI34" s="37"/>
      <c r="FJ34" s="37"/>
      <c r="FK34" s="37"/>
      <c r="FL34" s="37"/>
      <c r="FM34" s="37"/>
      <c r="FN34" s="37"/>
      <c r="FO34" s="37"/>
      <c r="FP34" s="37"/>
      <c r="FQ34" s="37"/>
      <c r="FR34" s="37"/>
      <c r="FS34" s="37"/>
      <c r="FT34" s="37"/>
      <c r="FU34" s="37"/>
      <c r="FV34" s="37"/>
      <c r="FW34" s="37"/>
      <c r="FX34" s="37"/>
      <c r="FY34" s="37"/>
      <c r="FZ34" s="37"/>
      <c r="GA34" s="37"/>
      <c r="GB34" s="37"/>
      <c r="GC34" s="37"/>
      <c r="GD34" s="37"/>
      <c r="GE34" s="37"/>
      <c r="GF34" s="37"/>
      <c r="GG34" s="37"/>
      <c r="GH34" s="37"/>
      <c r="GI34" s="37"/>
      <c r="GJ34" s="37"/>
      <c r="GK34" s="37"/>
      <c r="GL34" s="37"/>
      <c r="GM34" s="37"/>
      <c r="GN34" s="37"/>
      <c r="GO34" s="37"/>
      <c r="GP34" s="37"/>
      <c r="GQ34" s="37"/>
      <c r="GR34" s="37"/>
      <c r="GS34" s="37"/>
      <c r="GT34" s="37"/>
      <c r="GU34" s="37"/>
      <c r="GV34" s="37"/>
      <c r="GW34" s="37"/>
      <c r="GX34" s="37"/>
      <c r="GY34" s="37"/>
      <c r="GZ34" s="37"/>
      <c r="HA34" s="37"/>
      <c r="HB34" s="37"/>
      <c r="HC34" s="37"/>
      <c r="HD34" s="37"/>
      <c r="HE34" s="37"/>
      <c r="HF34" s="37"/>
      <c r="HG34" s="37"/>
      <c r="HH34" s="37"/>
      <c r="HI34" s="37"/>
      <c r="HJ34" s="37"/>
      <c r="HK34" s="37"/>
      <c r="HL34" s="37"/>
      <c r="HM34" s="37"/>
      <c r="HN34" s="37"/>
      <c r="HO34" s="37"/>
      <c r="HP34" s="37"/>
      <c r="HQ34" s="37"/>
      <c r="HR34" s="37"/>
      <c r="HS34" s="37"/>
      <c r="HT34" s="37"/>
      <c r="HU34" s="37"/>
      <c r="HV34" s="37"/>
      <c r="HW34" s="37"/>
      <c r="HX34" s="37"/>
      <c r="HY34" s="37"/>
      <c r="HZ34" s="37"/>
      <c r="IA34" s="37"/>
      <c r="IB34" s="37"/>
      <c r="IC34" s="37"/>
      <c r="ID34" s="37"/>
      <c r="IE34" s="37"/>
      <c r="IF34" s="37"/>
      <c r="IG34" s="37"/>
      <c r="IH34" s="37"/>
      <c r="II34" s="37"/>
      <c r="IJ34" s="37"/>
      <c r="IK34" s="37"/>
      <c r="IL34" s="37"/>
      <c r="IM34" s="37"/>
      <c r="IN34" s="37"/>
      <c r="IO34" s="37"/>
      <c r="IP34" s="37"/>
      <c r="IQ34" s="37"/>
      <c r="IR34" s="37"/>
      <c r="IS34" s="37"/>
      <c r="IT34" s="37"/>
      <c r="IU34" s="37"/>
      <c r="IV34" s="37"/>
      <c r="IW34" s="37"/>
    </row>
    <row r="35" spans="1:257" ht="12.75" customHeight="1">
      <c r="A35" s="37"/>
      <c r="B35" s="131"/>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c r="CO35" s="37"/>
      <c r="CP35" s="37"/>
      <c r="CQ35" s="37"/>
      <c r="CR35" s="37"/>
      <c r="CS35" s="37"/>
      <c r="CT35" s="37"/>
      <c r="CU35" s="37"/>
      <c r="CV35" s="37"/>
      <c r="CW35" s="37"/>
      <c r="CX35" s="37"/>
      <c r="CY35" s="37"/>
      <c r="CZ35" s="37"/>
      <c r="DA35" s="37"/>
      <c r="DB35" s="37"/>
      <c r="DC35" s="37"/>
      <c r="DD35" s="37"/>
      <c r="DE35" s="37"/>
      <c r="DF35" s="37"/>
      <c r="DG35" s="37"/>
      <c r="DH35" s="37"/>
      <c r="DI35" s="37"/>
      <c r="DJ35" s="37"/>
      <c r="DK35" s="37"/>
      <c r="DL35" s="37"/>
      <c r="DM35" s="37"/>
      <c r="DN35" s="37"/>
      <c r="DO35" s="37"/>
      <c r="DP35" s="37"/>
      <c r="DQ35" s="37"/>
      <c r="DR35" s="37"/>
      <c r="DS35" s="37"/>
      <c r="DT35" s="37"/>
      <c r="DU35" s="37"/>
      <c r="DV35" s="37"/>
      <c r="DW35" s="37"/>
      <c r="DX35" s="37"/>
      <c r="DY35" s="37"/>
      <c r="DZ35" s="37"/>
      <c r="EA35" s="37"/>
      <c r="EB35" s="37"/>
      <c r="EC35" s="37"/>
      <c r="ED35" s="37"/>
      <c r="EE35" s="37"/>
      <c r="EF35" s="37"/>
      <c r="EG35" s="37"/>
      <c r="EH35" s="37"/>
      <c r="EI35" s="37"/>
      <c r="EJ35" s="37"/>
      <c r="EK35" s="37"/>
      <c r="EL35" s="37"/>
      <c r="EM35" s="37"/>
      <c r="EN35" s="37"/>
      <c r="EO35" s="37"/>
      <c r="EP35" s="37"/>
      <c r="EQ35" s="37"/>
      <c r="ER35" s="37"/>
      <c r="ES35" s="37"/>
      <c r="ET35" s="37"/>
      <c r="EU35" s="37"/>
      <c r="EV35" s="37"/>
      <c r="EW35" s="37"/>
      <c r="EX35" s="37"/>
      <c r="EY35" s="37"/>
      <c r="EZ35" s="37"/>
      <c r="FA35" s="37"/>
      <c r="FB35" s="37"/>
      <c r="FC35" s="37"/>
      <c r="FD35" s="37"/>
      <c r="FE35" s="37"/>
      <c r="FF35" s="37"/>
      <c r="FG35" s="37"/>
      <c r="FH35" s="37"/>
      <c r="FI35" s="37"/>
      <c r="FJ35" s="37"/>
      <c r="FK35" s="37"/>
      <c r="FL35" s="37"/>
      <c r="FM35" s="37"/>
      <c r="FN35" s="37"/>
      <c r="FO35" s="37"/>
      <c r="FP35" s="37"/>
      <c r="FQ35" s="37"/>
      <c r="FR35" s="37"/>
      <c r="FS35" s="37"/>
      <c r="FT35" s="37"/>
      <c r="FU35" s="37"/>
      <c r="FV35" s="37"/>
      <c r="FW35" s="37"/>
      <c r="FX35" s="37"/>
      <c r="FY35" s="37"/>
      <c r="FZ35" s="37"/>
      <c r="GA35" s="37"/>
      <c r="GB35" s="37"/>
      <c r="GC35" s="37"/>
      <c r="GD35" s="37"/>
      <c r="GE35" s="37"/>
      <c r="GF35" s="37"/>
      <c r="GG35" s="37"/>
      <c r="GH35" s="37"/>
      <c r="GI35" s="37"/>
      <c r="GJ35" s="37"/>
      <c r="GK35" s="37"/>
      <c r="GL35" s="37"/>
      <c r="GM35" s="37"/>
      <c r="GN35" s="37"/>
      <c r="GO35" s="37"/>
      <c r="GP35" s="37"/>
      <c r="GQ35" s="37"/>
      <c r="GR35" s="37"/>
      <c r="GS35" s="37"/>
      <c r="GT35" s="37"/>
      <c r="GU35" s="37"/>
      <c r="GV35" s="37"/>
      <c r="GW35" s="37"/>
      <c r="GX35" s="37"/>
      <c r="GY35" s="37"/>
      <c r="GZ35" s="37"/>
      <c r="HA35" s="37"/>
      <c r="HB35" s="37"/>
      <c r="HC35" s="37"/>
      <c r="HD35" s="37"/>
      <c r="HE35" s="37"/>
      <c r="HF35" s="37"/>
      <c r="HG35" s="37"/>
      <c r="HH35" s="37"/>
      <c r="HI35" s="37"/>
      <c r="HJ35" s="37"/>
      <c r="HK35" s="37"/>
      <c r="HL35" s="37"/>
      <c r="HM35" s="37"/>
      <c r="HN35" s="37"/>
      <c r="HO35" s="37"/>
      <c r="HP35" s="37"/>
      <c r="HQ35" s="37"/>
      <c r="HR35" s="37"/>
      <c r="HS35" s="37"/>
      <c r="HT35" s="37"/>
      <c r="HU35" s="37"/>
      <c r="HV35" s="37"/>
      <c r="HW35" s="37"/>
      <c r="HX35" s="37"/>
      <c r="HY35" s="37"/>
      <c r="HZ35" s="37"/>
      <c r="IA35" s="37"/>
      <c r="IB35" s="37"/>
      <c r="IC35" s="37"/>
      <c r="ID35" s="37"/>
      <c r="IE35" s="37"/>
      <c r="IF35" s="37"/>
      <c r="IG35" s="37"/>
      <c r="IH35" s="37"/>
      <c r="II35" s="37"/>
      <c r="IJ35" s="37"/>
      <c r="IK35" s="37"/>
      <c r="IL35" s="37"/>
      <c r="IM35" s="37"/>
      <c r="IN35" s="37"/>
      <c r="IO35" s="37"/>
      <c r="IP35" s="37"/>
      <c r="IQ35" s="37"/>
      <c r="IR35" s="37"/>
      <c r="IS35" s="37"/>
      <c r="IT35" s="37"/>
      <c r="IU35" s="37"/>
      <c r="IV35" s="37"/>
      <c r="IW35" s="37"/>
    </row>
    <row r="36" spans="1:257" ht="12.75" customHeight="1">
      <c r="A36" s="37"/>
      <c r="B36" s="131"/>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c r="CO36" s="37"/>
      <c r="CP36" s="37"/>
      <c r="CQ36" s="37"/>
      <c r="CR36" s="37"/>
      <c r="CS36" s="37"/>
      <c r="CT36" s="37"/>
      <c r="CU36" s="37"/>
      <c r="CV36" s="37"/>
      <c r="CW36" s="37"/>
      <c r="CX36" s="37"/>
      <c r="CY36" s="37"/>
      <c r="CZ36" s="37"/>
      <c r="DA36" s="37"/>
      <c r="DB36" s="37"/>
      <c r="DC36" s="37"/>
      <c r="DD36" s="37"/>
      <c r="DE36" s="37"/>
      <c r="DF36" s="37"/>
      <c r="DG36" s="37"/>
      <c r="DH36" s="37"/>
      <c r="DI36" s="37"/>
      <c r="DJ36" s="37"/>
      <c r="DK36" s="37"/>
      <c r="DL36" s="37"/>
      <c r="DM36" s="37"/>
      <c r="DN36" s="37"/>
      <c r="DO36" s="37"/>
      <c r="DP36" s="37"/>
      <c r="DQ36" s="37"/>
      <c r="DR36" s="37"/>
      <c r="DS36" s="37"/>
      <c r="DT36" s="37"/>
      <c r="DU36" s="37"/>
      <c r="DV36" s="37"/>
      <c r="DW36" s="37"/>
      <c r="DX36" s="37"/>
      <c r="DY36" s="37"/>
      <c r="DZ36" s="37"/>
      <c r="EA36" s="37"/>
      <c r="EB36" s="37"/>
      <c r="EC36" s="37"/>
      <c r="ED36" s="37"/>
      <c r="EE36" s="37"/>
      <c r="EF36" s="37"/>
      <c r="EG36" s="37"/>
      <c r="EH36" s="37"/>
      <c r="EI36" s="37"/>
      <c r="EJ36" s="37"/>
      <c r="EK36" s="37"/>
      <c r="EL36" s="37"/>
      <c r="EM36" s="37"/>
      <c r="EN36" s="37"/>
      <c r="EO36" s="37"/>
      <c r="EP36" s="37"/>
      <c r="EQ36" s="37"/>
      <c r="ER36" s="37"/>
      <c r="ES36" s="37"/>
      <c r="ET36" s="37"/>
      <c r="EU36" s="37"/>
      <c r="EV36" s="37"/>
      <c r="EW36" s="37"/>
      <c r="EX36" s="37"/>
      <c r="EY36" s="37"/>
      <c r="EZ36" s="37"/>
      <c r="FA36" s="37"/>
      <c r="FB36" s="37"/>
      <c r="FC36" s="37"/>
      <c r="FD36" s="37"/>
      <c r="FE36" s="37"/>
      <c r="FF36" s="37"/>
      <c r="FG36" s="37"/>
      <c r="FH36" s="37"/>
      <c r="FI36" s="37"/>
      <c r="FJ36" s="37"/>
      <c r="FK36" s="37"/>
      <c r="FL36" s="37"/>
      <c r="FM36" s="37"/>
      <c r="FN36" s="37"/>
      <c r="FO36" s="37"/>
      <c r="FP36" s="37"/>
      <c r="FQ36" s="37"/>
      <c r="FR36" s="37"/>
      <c r="FS36" s="37"/>
      <c r="FT36" s="37"/>
      <c r="FU36" s="37"/>
      <c r="FV36" s="37"/>
      <c r="FW36" s="37"/>
      <c r="FX36" s="37"/>
      <c r="FY36" s="37"/>
      <c r="FZ36" s="37"/>
      <c r="GA36" s="37"/>
      <c r="GB36" s="37"/>
      <c r="GC36" s="37"/>
      <c r="GD36" s="37"/>
      <c r="GE36" s="37"/>
      <c r="GF36" s="37"/>
      <c r="GG36" s="37"/>
      <c r="GH36" s="37"/>
      <c r="GI36" s="37"/>
      <c r="GJ36" s="37"/>
      <c r="GK36" s="37"/>
      <c r="GL36" s="37"/>
      <c r="GM36" s="37"/>
      <c r="GN36" s="37"/>
      <c r="GO36" s="37"/>
      <c r="GP36" s="37"/>
      <c r="GQ36" s="37"/>
      <c r="GR36" s="37"/>
      <c r="GS36" s="37"/>
      <c r="GT36" s="37"/>
      <c r="GU36" s="37"/>
      <c r="GV36" s="37"/>
      <c r="GW36" s="37"/>
      <c r="GX36" s="37"/>
      <c r="GY36" s="37"/>
      <c r="GZ36" s="37"/>
      <c r="HA36" s="37"/>
      <c r="HB36" s="37"/>
      <c r="HC36" s="37"/>
      <c r="HD36" s="37"/>
      <c r="HE36" s="37"/>
      <c r="HF36" s="37"/>
      <c r="HG36" s="37"/>
      <c r="HH36" s="37"/>
      <c r="HI36" s="37"/>
      <c r="HJ36" s="37"/>
      <c r="HK36" s="37"/>
      <c r="HL36" s="37"/>
      <c r="HM36" s="37"/>
      <c r="HN36" s="37"/>
      <c r="HO36" s="37"/>
      <c r="HP36" s="37"/>
      <c r="HQ36" s="37"/>
      <c r="HR36" s="37"/>
      <c r="HS36" s="37"/>
      <c r="HT36" s="37"/>
      <c r="HU36" s="37"/>
      <c r="HV36" s="37"/>
      <c r="HW36" s="37"/>
      <c r="HX36" s="37"/>
      <c r="HY36" s="37"/>
      <c r="HZ36" s="37"/>
      <c r="IA36" s="37"/>
      <c r="IB36" s="37"/>
      <c r="IC36" s="37"/>
      <c r="ID36" s="37"/>
      <c r="IE36" s="37"/>
      <c r="IF36" s="37"/>
      <c r="IG36" s="37"/>
      <c r="IH36" s="37"/>
      <c r="II36" s="37"/>
      <c r="IJ36" s="37"/>
      <c r="IK36" s="37"/>
      <c r="IL36" s="37"/>
      <c r="IM36" s="37"/>
      <c r="IN36" s="37"/>
      <c r="IO36" s="37"/>
      <c r="IP36" s="37"/>
      <c r="IQ36" s="37"/>
      <c r="IR36" s="37"/>
      <c r="IS36" s="37"/>
      <c r="IT36" s="37"/>
      <c r="IU36" s="37"/>
      <c r="IV36" s="37"/>
      <c r="IW36" s="37"/>
    </row>
    <row r="37" spans="1:257" ht="12.75" customHeight="1">
      <c r="A37" s="37"/>
      <c r="B37" s="131"/>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c r="CS37" s="37"/>
      <c r="CT37" s="37"/>
      <c r="CU37" s="37"/>
      <c r="CV37" s="37"/>
      <c r="CW37" s="37"/>
      <c r="CX37" s="37"/>
      <c r="CY37" s="37"/>
      <c r="CZ37" s="37"/>
      <c r="DA37" s="37"/>
      <c r="DB37" s="37"/>
      <c r="DC37" s="37"/>
      <c r="DD37" s="37"/>
      <c r="DE37" s="37"/>
      <c r="DF37" s="37"/>
      <c r="DG37" s="37"/>
      <c r="DH37" s="37"/>
      <c r="DI37" s="37"/>
      <c r="DJ37" s="37"/>
      <c r="DK37" s="37"/>
      <c r="DL37" s="37"/>
      <c r="DM37" s="37"/>
      <c r="DN37" s="37"/>
      <c r="DO37" s="37"/>
      <c r="DP37" s="37"/>
      <c r="DQ37" s="37"/>
      <c r="DR37" s="37"/>
      <c r="DS37" s="37"/>
      <c r="DT37" s="37"/>
      <c r="DU37" s="37"/>
      <c r="DV37" s="37"/>
      <c r="DW37" s="37"/>
      <c r="DX37" s="37"/>
      <c r="DY37" s="37"/>
      <c r="DZ37" s="37"/>
      <c r="EA37" s="37"/>
      <c r="EB37" s="37"/>
      <c r="EC37" s="37"/>
      <c r="ED37" s="37"/>
      <c r="EE37" s="37"/>
      <c r="EF37" s="37"/>
      <c r="EG37" s="37"/>
      <c r="EH37" s="37"/>
      <c r="EI37" s="37"/>
      <c r="EJ37" s="37"/>
      <c r="EK37" s="37"/>
      <c r="EL37" s="37"/>
      <c r="EM37" s="37"/>
      <c r="EN37" s="37"/>
      <c r="EO37" s="37"/>
      <c r="EP37" s="37"/>
      <c r="EQ37" s="37"/>
      <c r="ER37" s="37"/>
      <c r="ES37" s="37"/>
      <c r="ET37" s="37"/>
      <c r="EU37" s="37"/>
      <c r="EV37" s="37"/>
      <c r="EW37" s="37"/>
      <c r="EX37" s="37"/>
      <c r="EY37" s="37"/>
      <c r="EZ37" s="37"/>
      <c r="FA37" s="37"/>
      <c r="FB37" s="37"/>
      <c r="FC37" s="37"/>
      <c r="FD37" s="37"/>
      <c r="FE37" s="37"/>
      <c r="FF37" s="37"/>
      <c r="FG37" s="37"/>
      <c r="FH37" s="37"/>
      <c r="FI37" s="37"/>
      <c r="FJ37" s="37"/>
      <c r="FK37" s="37"/>
      <c r="FL37" s="37"/>
      <c r="FM37" s="37"/>
      <c r="FN37" s="37"/>
      <c r="FO37" s="37"/>
      <c r="FP37" s="37"/>
      <c r="FQ37" s="37"/>
      <c r="FR37" s="37"/>
      <c r="FS37" s="37"/>
      <c r="FT37" s="37"/>
      <c r="FU37" s="37"/>
      <c r="FV37" s="37"/>
      <c r="FW37" s="37"/>
      <c r="FX37" s="37"/>
      <c r="FY37" s="37"/>
      <c r="FZ37" s="37"/>
      <c r="GA37" s="37"/>
      <c r="GB37" s="37"/>
      <c r="GC37" s="37"/>
      <c r="GD37" s="37"/>
      <c r="GE37" s="37"/>
      <c r="GF37" s="37"/>
      <c r="GG37" s="37"/>
      <c r="GH37" s="37"/>
      <c r="GI37" s="37"/>
      <c r="GJ37" s="37"/>
      <c r="GK37" s="37"/>
      <c r="GL37" s="37"/>
      <c r="GM37" s="37"/>
      <c r="GN37" s="37"/>
      <c r="GO37" s="37"/>
      <c r="GP37" s="37"/>
      <c r="GQ37" s="37"/>
      <c r="GR37" s="37"/>
      <c r="GS37" s="37"/>
      <c r="GT37" s="37"/>
      <c r="GU37" s="37"/>
      <c r="GV37" s="37"/>
      <c r="GW37" s="37"/>
      <c r="GX37" s="37"/>
      <c r="GY37" s="37"/>
      <c r="GZ37" s="37"/>
      <c r="HA37" s="37"/>
      <c r="HB37" s="37"/>
      <c r="HC37" s="37"/>
      <c r="HD37" s="37"/>
      <c r="HE37" s="37"/>
      <c r="HF37" s="37"/>
      <c r="HG37" s="37"/>
      <c r="HH37" s="37"/>
      <c r="HI37" s="37"/>
      <c r="HJ37" s="37"/>
      <c r="HK37" s="37"/>
      <c r="HL37" s="37"/>
      <c r="HM37" s="37"/>
      <c r="HN37" s="37"/>
      <c r="HO37" s="37"/>
      <c r="HP37" s="37"/>
      <c r="HQ37" s="37"/>
      <c r="HR37" s="37"/>
      <c r="HS37" s="37"/>
      <c r="HT37" s="37"/>
      <c r="HU37" s="37"/>
      <c r="HV37" s="37"/>
      <c r="HW37" s="37"/>
      <c r="HX37" s="37"/>
      <c r="HY37" s="37"/>
      <c r="HZ37" s="37"/>
      <c r="IA37" s="37"/>
      <c r="IB37" s="37"/>
      <c r="IC37" s="37"/>
      <c r="ID37" s="37"/>
      <c r="IE37" s="37"/>
      <c r="IF37" s="37"/>
      <c r="IG37" s="37"/>
      <c r="IH37" s="37"/>
      <c r="II37" s="37"/>
      <c r="IJ37" s="37"/>
      <c r="IK37" s="37"/>
      <c r="IL37" s="37"/>
      <c r="IM37" s="37"/>
      <c r="IN37" s="37"/>
      <c r="IO37" s="37"/>
      <c r="IP37" s="37"/>
      <c r="IQ37" s="37"/>
      <c r="IR37" s="37"/>
      <c r="IS37" s="37"/>
      <c r="IT37" s="37"/>
      <c r="IU37" s="37"/>
      <c r="IV37" s="37"/>
      <c r="IW37" s="37"/>
    </row>
    <row r="38" spans="1:257" ht="12.75" customHeight="1">
      <c r="A38" s="37"/>
      <c r="B38" s="131"/>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c r="CW38" s="37"/>
      <c r="CX38" s="37"/>
      <c r="CY38" s="37"/>
      <c r="CZ38" s="37"/>
      <c r="DA38" s="37"/>
      <c r="DB38" s="37"/>
      <c r="DC38" s="37"/>
      <c r="DD38" s="37"/>
      <c r="DE38" s="37"/>
      <c r="DF38" s="37"/>
      <c r="DG38" s="37"/>
      <c r="DH38" s="37"/>
      <c r="DI38" s="37"/>
      <c r="DJ38" s="37"/>
      <c r="DK38" s="37"/>
      <c r="DL38" s="37"/>
      <c r="DM38" s="37"/>
      <c r="DN38" s="37"/>
      <c r="DO38" s="37"/>
      <c r="DP38" s="37"/>
      <c r="DQ38" s="37"/>
      <c r="DR38" s="37"/>
      <c r="DS38" s="37"/>
      <c r="DT38" s="37"/>
      <c r="DU38" s="37"/>
      <c r="DV38" s="37"/>
      <c r="DW38" s="37"/>
      <c r="DX38" s="37"/>
      <c r="DY38" s="37"/>
      <c r="DZ38" s="37"/>
      <c r="EA38" s="37"/>
      <c r="EB38" s="37"/>
      <c r="EC38" s="37"/>
      <c r="ED38" s="37"/>
      <c r="EE38" s="37"/>
      <c r="EF38" s="37"/>
      <c r="EG38" s="37"/>
      <c r="EH38" s="37"/>
      <c r="EI38" s="37"/>
      <c r="EJ38" s="37"/>
      <c r="EK38" s="37"/>
      <c r="EL38" s="37"/>
      <c r="EM38" s="37"/>
      <c r="EN38" s="37"/>
      <c r="EO38" s="37"/>
      <c r="EP38" s="37"/>
      <c r="EQ38" s="37"/>
      <c r="ER38" s="37"/>
      <c r="ES38" s="37"/>
      <c r="ET38" s="37"/>
      <c r="EU38" s="37"/>
      <c r="EV38" s="37"/>
      <c r="EW38" s="37"/>
      <c r="EX38" s="37"/>
      <c r="EY38" s="37"/>
      <c r="EZ38" s="37"/>
      <c r="FA38" s="37"/>
      <c r="FB38" s="37"/>
      <c r="FC38" s="37"/>
      <c r="FD38" s="37"/>
      <c r="FE38" s="37"/>
      <c r="FF38" s="37"/>
      <c r="FG38" s="37"/>
      <c r="FH38" s="37"/>
      <c r="FI38" s="37"/>
      <c r="FJ38" s="37"/>
      <c r="FK38" s="37"/>
      <c r="FL38" s="37"/>
      <c r="FM38" s="37"/>
      <c r="FN38" s="37"/>
      <c r="FO38" s="37"/>
      <c r="FP38" s="37"/>
      <c r="FQ38" s="37"/>
      <c r="FR38" s="37"/>
      <c r="FS38" s="37"/>
      <c r="FT38" s="37"/>
      <c r="FU38" s="37"/>
      <c r="FV38" s="37"/>
      <c r="FW38" s="37"/>
      <c r="FX38" s="37"/>
      <c r="FY38" s="37"/>
      <c r="FZ38" s="37"/>
      <c r="GA38" s="37"/>
      <c r="GB38" s="37"/>
      <c r="GC38" s="37"/>
      <c r="GD38" s="37"/>
      <c r="GE38" s="37"/>
      <c r="GF38" s="37"/>
      <c r="GG38" s="37"/>
      <c r="GH38" s="37"/>
      <c r="GI38" s="37"/>
      <c r="GJ38" s="37"/>
      <c r="GK38" s="37"/>
      <c r="GL38" s="37"/>
      <c r="GM38" s="37"/>
      <c r="GN38" s="37"/>
      <c r="GO38" s="37"/>
      <c r="GP38" s="37"/>
      <c r="GQ38" s="37"/>
      <c r="GR38" s="37"/>
      <c r="GS38" s="37"/>
      <c r="GT38" s="37"/>
      <c r="GU38" s="37"/>
      <c r="GV38" s="37"/>
      <c r="GW38" s="37"/>
      <c r="GX38" s="37"/>
      <c r="GY38" s="37"/>
      <c r="GZ38" s="37"/>
      <c r="HA38" s="37"/>
      <c r="HB38" s="37"/>
      <c r="HC38" s="37"/>
      <c r="HD38" s="37"/>
      <c r="HE38" s="37"/>
      <c r="HF38" s="37"/>
      <c r="HG38" s="37"/>
      <c r="HH38" s="37"/>
      <c r="HI38" s="37"/>
      <c r="HJ38" s="37"/>
      <c r="HK38" s="37"/>
      <c r="HL38" s="37"/>
      <c r="HM38" s="37"/>
      <c r="HN38" s="37"/>
      <c r="HO38" s="37"/>
      <c r="HP38" s="37"/>
      <c r="HQ38" s="37"/>
      <c r="HR38" s="37"/>
      <c r="HS38" s="37"/>
      <c r="HT38" s="37"/>
      <c r="HU38" s="37"/>
      <c r="HV38" s="37"/>
      <c r="HW38" s="37"/>
      <c r="HX38" s="37"/>
      <c r="HY38" s="37"/>
      <c r="HZ38" s="37"/>
      <c r="IA38" s="37"/>
      <c r="IB38" s="37"/>
      <c r="IC38" s="37"/>
      <c r="ID38" s="37"/>
      <c r="IE38" s="37"/>
      <c r="IF38" s="37"/>
      <c r="IG38" s="37"/>
      <c r="IH38" s="37"/>
      <c r="II38" s="37"/>
      <c r="IJ38" s="37"/>
      <c r="IK38" s="37"/>
      <c r="IL38" s="37"/>
      <c r="IM38" s="37"/>
      <c r="IN38" s="37"/>
      <c r="IO38" s="37"/>
      <c r="IP38" s="37"/>
      <c r="IQ38" s="37"/>
      <c r="IR38" s="37"/>
      <c r="IS38" s="37"/>
      <c r="IT38" s="37"/>
      <c r="IU38" s="37"/>
      <c r="IV38" s="37"/>
      <c r="IW38" s="37"/>
    </row>
    <row r="39" spans="1:257" ht="12.75" customHeight="1">
      <c r="A39" s="37"/>
      <c r="B39" s="131"/>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c r="CU39" s="37"/>
      <c r="CV39" s="37"/>
      <c r="CW39" s="37"/>
      <c r="CX39" s="37"/>
      <c r="CY39" s="37"/>
      <c r="CZ39" s="37"/>
      <c r="DA39" s="37"/>
      <c r="DB39" s="37"/>
      <c r="DC39" s="37"/>
      <c r="DD39" s="37"/>
      <c r="DE39" s="37"/>
      <c r="DF39" s="37"/>
      <c r="DG39" s="37"/>
      <c r="DH39" s="37"/>
      <c r="DI39" s="37"/>
      <c r="DJ39" s="37"/>
      <c r="DK39" s="37"/>
      <c r="DL39" s="37"/>
      <c r="DM39" s="37"/>
      <c r="DN39" s="37"/>
      <c r="DO39" s="37"/>
      <c r="DP39" s="37"/>
      <c r="DQ39" s="37"/>
      <c r="DR39" s="37"/>
      <c r="DS39" s="37"/>
      <c r="DT39" s="37"/>
      <c r="DU39" s="37"/>
      <c r="DV39" s="37"/>
      <c r="DW39" s="37"/>
      <c r="DX39" s="37"/>
      <c r="DY39" s="37"/>
      <c r="DZ39" s="37"/>
      <c r="EA39" s="37"/>
      <c r="EB39" s="37"/>
      <c r="EC39" s="37"/>
      <c r="ED39" s="37"/>
      <c r="EE39" s="37"/>
      <c r="EF39" s="37"/>
      <c r="EG39" s="37"/>
      <c r="EH39" s="37"/>
      <c r="EI39" s="37"/>
      <c r="EJ39" s="37"/>
      <c r="EK39" s="37"/>
      <c r="EL39" s="37"/>
      <c r="EM39" s="37"/>
      <c r="EN39" s="37"/>
      <c r="EO39" s="37"/>
      <c r="EP39" s="37"/>
      <c r="EQ39" s="37"/>
      <c r="ER39" s="37"/>
      <c r="ES39" s="37"/>
      <c r="ET39" s="37"/>
      <c r="EU39" s="37"/>
      <c r="EV39" s="37"/>
      <c r="EW39" s="37"/>
      <c r="EX39" s="37"/>
      <c r="EY39" s="37"/>
      <c r="EZ39" s="37"/>
      <c r="FA39" s="37"/>
      <c r="FB39" s="37"/>
      <c r="FC39" s="37"/>
      <c r="FD39" s="37"/>
      <c r="FE39" s="37"/>
      <c r="FF39" s="37"/>
      <c r="FG39" s="37"/>
      <c r="FH39" s="37"/>
      <c r="FI39" s="37"/>
      <c r="FJ39" s="37"/>
      <c r="FK39" s="37"/>
      <c r="FL39" s="37"/>
      <c r="FM39" s="37"/>
      <c r="FN39" s="37"/>
      <c r="FO39" s="37"/>
      <c r="FP39" s="37"/>
      <c r="FQ39" s="37"/>
      <c r="FR39" s="37"/>
      <c r="FS39" s="37"/>
      <c r="FT39" s="37"/>
      <c r="FU39" s="37"/>
      <c r="FV39" s="37"/>
      <c r="FW39" s="37"/>
      <c r="FX39" s="37"/>
      <c r="FY39" s="37"/>
      <c r="FZ39" s="37"/>
      <c r="GA39" s="37"/>
      <c r="GB39" s="37"/>
      <c r="GC39" s="37"/>
      <c r="GD39" s="37"/>
      <c r="GE39" s="37"/>
      <c r="GF39" s="37"/>
      <c r="GG39" s="37"/>
      <c r="GH39" s="37"/>
      <c r="GI39" s="37"/>
      <c r="GJ39" s="37"/>
      <c r="GK39" s="37"/>
      <c r="GL39" s="37"/>
      <c r="GM39" s="37"/>
      <c r="GN39" s="37"/>
      <c r="GO39" s="37"/>
      <c r="GP39" s="37"/>
      <c r="GQ39" s="37"/>
      <c r="GR39" s="37"/>
      <c r="GS39" s="37"/>
      <c r="GT39" s="37"/>
      <c r="GU39" s="37"/>
      <c r="GV39" s="37"/>
      <c r="GW39" s="37"/>
      <c r="GX39" s="37"/>
      <c r="GY39" s="37"/>
      <c r="GZ39" s="37"/>
      <c r="HA39" s="37"/>
      <c r="HB39" s="37"/>
      <c r="HC39" s="37"/>
      <c r="HD39" s="37"/>
      <c r="HE39" s="37"/>
      <c r="HF39" s="37"/>
      <c r="HG39" s="37"/>
      <c r="HH39" s="37"/>
      <c r="HI39" s="37"/>
      <c r="HJ39" s="37"/>
      <c r="HK39" s="37"/>
      <c r="HL39" s="37"/>
      <c r="HM39" s="37"/>
      <c r="HN39" s="37"/>
      <c r="HO39" s="37"/>
      <c r="HP39" s="37"/>
      <c r="HQ39" s="37"/>
      <c r="HR39" s="37"/>
      <c r="HS39" s="37"/>
      <c r="HT39" s="37"/>
      <c r="HU39" s="37"/>
      <c r="HV39" s="37"/>
      <c r="HW39" s="37"/>
      <c r="HX39" s="37"/>
      <c r="HY39" s="37"/>
      <c r="HZ39" s="37"/>
      <c r="IA39" s="37"/>
      <c r="IB39" s="37"/>
      <c r="IC39" s="37"/>
      <c r="ID39" s="37"/>
      <c r="IE39" s="37"/>
      <c r="IF39" s="37"/>
      <c r="IG39" s="37"/>
      <c r="IH39" s="37"/>
      <c r="II39" s="37"/>
      <c r="IJ39" s="37"/>
      <c r="IK39" s="37"/>
      <c r="IL39" s="37"/>
      <c r="IM39" s="37"/>
      <c r="IN39" s="37"/>
      <c r="IO39" s="37"/>
      <c r="IP39" s="37"/>
      <c r="IQ39" s="37"/>
      <c r="IR39" s="37"/>
      <c r="IS39" s="37"/>
      <c r="IT39" s="37"/>
      <c r="IU39" s="37"/>
      <c r="IV39" s="37"/>
      <c r="IW39" s="37"/>
    </row>
    <row r="41" spans="1:257" s="49" customFormat="1" ht="18.75" customHeight="1">
      <c r="A41" s="132"/>
      <c r="B41" s="133"/>
      <c r="C41" s="134"/>
      <c r="I41" s="89"/>
      <c r="J41" s="2"/>
      <c r="K41" s="2"/>
      <c r="L41" s="2"/>
      <c r="M41" s="90"/>
      <c r="N41" s="90"/>
      <c r="O41" s="90"/>
      <c r="P41" s="90"/>
      <c r="Q41" s="90"/>
      <c r="R41" s="90"/>
      <c r="S41" s="90"/>
      <c r="T41" s="90"/>
      <c r="U41" s="90"/>
      <c r="V41" s="90"/>
      <c r="W41" s="90"/>
      <c r="X41" s="90"/>
      <c r="Y41" s="90"/>
      <c r="Z41" s="90"/>
      <c r="AA41" s="90"/>
    </row>
  </sheetData>
  <mergeCells count="3">
    <mergeCell ref="A2:I2"/>
    <mergeCell ref="G1:I1"/>
    <mergeCell ref="A3:I3"/>
  </mergeCells>
  <printOptions horizontalCentered="1"/>
  <pageMargins left="0.7" right="0.30972222222222201" top="0.8" bottom="0.75" header="0.511811023622047" footer="0.3"/>
  <pageSetup paperSize="9" scale="90" fitToHeight="0" orientation="landscape" horizontalDpi="300" verticalDpi="300" r:id="rId1"/>
  <headerFooter>
    <oddFooter>&amp;C&amp;A&amp;RPage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16</vt:i4>
      </vt:variant>
    </vt:vector>
  </HeadingPairs>
  <TitlesOfParts>
    <vt:vector size="26" baseType="lpstr">
      <vt:lpstr>Bia</vt:lpstr>
      <vt:lpstr>Trang ky</vt:lpstr>
      <vt:lpstr>Can cu lap</vt:lpstr>
      <vt:lpstr>Tong hop</vt:lpstr>
      <vt:lpstr>PL1</vt:lpstr>
      <vt:lpstr>PL2</vt:lpstr>
      <vt:lpstr>PL3</vt:lpstr>
      <vt:lpstr>PL4</vt:lpstr>
      <vt:lpstr>PL5</vt:lpstr>
      <vt:lpstr>PL6</vt:lpstr>
      <vt:lpstr>Bia!Print_Area</vt:lpstr>
      <vt:lpstr>'Can cu lap'!Print_Area</vt:lpstr>
      <vt:lpstr>'PL1'!Print_Area</vt:lpstr>
      <vt:lpstr>'PL2'!Print_Area</vt:lpstr>
      <vt:lpstr>'PL3'!Print_Area</vt:lpstr>
      <vt:lpstr>'PL4'!Print_Area</vt:lpstr>
      <vt:lpstr>'PL5'!Print_Area</vt:lpstr>
      <vt:lpstr>'PL6'!Print_Area</vt:lpstr>
      <vt:lpstr>'Tong hop'!Print_Area</vt:lpstr>
      <vt:lpstr>'Trang ky'!Print_Area</vt:lpstr>
      <vt:lpstr>'PL2'!Print_Titles</vt:lpstr>
      <vt:lpstr>'PL3'!Print_Titles</vt:lpstr>
      <vt:lpstr>'PL4'!Print_Titles</vt:lpstr>
      <vt:lpstr>'PL5'!Print_Titles</vt:lpstr>
      <vt:lpstr>'PL6'!Print_Titles</vt:lpstr>
      <vt:lpstr>'Tong hop'!Print_Titles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nguyennh</dc:creator>
  <cp:lastModifiedBy>Vũ Thanh Hải (485690)</cp:lastModifiedBy>
  <cp:revision>0</cp:revision>
  <cp:lastPrinted>2026-06-19T11:29:54Z</cp:lastPrinted>
  <dcterms:created xsi:type="dcterms:W3CDTF">2011-03-11T09:51:07Z</dcterms:created>
  <dcterms:modified xsi:type="dcterms:W3CDTF">2026-10-06T09:10:46Z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BMPSD">
    <vt:lpwstr>K</vt:lpwstr>
  </property>
</Properties>
</file>